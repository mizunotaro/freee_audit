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zun\Downloads\"/>
    </mc:Choice>
  </mc:AlternateContent>
  <xr:revisionPtr revIDLastSave="0" documentId="8_{E2746127-49C8-48FB-BF38-8D25D2911B36}" xr6:coauthVersionLast="47" xr6:coauthVersionMax="47" xr10:uidLastSave="{00000000-0000-0000-0000-000000000000}"/>
  <bookViews>
    <workbookView xWindow="-108" yWindow="-108" windowWidth="23256" windowHeight="14616" xr2:uid="{E3A8CBA1-4AC9-4F30-8CBB-A6716C360D27}"/>
  </bookViews>
  <sheets>
    <sheet name="資本政策 (0920)" sheetId="13" r:id="rId1"/>
  </sheets>
  <externalReferences>
    <externalReference r:id="rId2"/>
  </externalReferences>
  <definedNames>
    <definedName name="DateModelEndIn">[1]BMS2!$F$46</definedName>
    <definedName name="DaysOffset">[1]BMS2!$F$45</definedName>
    <definedName name="Timeline">[1]BMS2!$F$41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3" l="1"/>
  <c r="Z17" i="13" s="1"/>
  <c r="AF17" i="13" s="1"/>
  <c r="S32" i="13"/>
  <c r="Y32" i="13" s="1"/>
  <c r="S31" i="13"/>
  <c r="Y31" i="13" s="1"/>
  <c r="S30" i="13"/>
  <c r="Y30" i="13" s="1"/>
  <c r="Y29" i="13"/>
  <c r="S29" i="13"/>
  <c r="AJ27" i="13"/>
  <c r="AD27" i="13"/>
  <c r="R27" i="13"/>
  <c r="H27" i="13"/>
  <c r="G27" i="13"/>
  <c r="E27" i="13"/>
  <c r="E8" i="13" s="1"/>
  <c r="D11" i="13" s="1"/>
  <c r="D27" i="13"/>
  <c r="AP25" i="13"/>
  <c r="AP24" i="13"/>
  <c r="AR23" i="13"/>
  <c r="AL23" i="13"/>
  <c r="AA23" i="13"/>
  <c r="AM23" i="13" s="1"/>
  <c r="AM27" i="13" s="1"/>
  <c r="Z23" i="13"/>
  <c r="U23" i="13"/>
  <c r="AP21" i="13"/>
  <c r="AP27" i="13" s="1"/>
  <c r="AG21" i="13"/>
  <c r="X21" i="13"/>
  <c r="X27" i="13" s="1"/>
  <c r="S21" i="13"/>
  <c r="S27" i="13" s="1"/>
  <c r="L21" i="13"/>
  <c r="L27" i="13" s="1"/>
  <c r="I21" i="13"/>
  <c r="J22" i="13" s="1"/>
  <c r="N22" i="13" s="1"/>
  <c r="F21" i="13"/>
  <c r="N20" i="13"/>
  <c r="N19" i="13"/>
  <c r="T19" i="13" s="1"/>
  <c r="T18" i="13"/>
  <c r="Z18" i="13" s="1"/>
  <c r="N18" i="13"/>
  <c r="J16" i="13"/>
  <c r="N16" i="13" s="1"/>
  <c r="T16" i="13" s="1"/>
  <c r="AD13" i="13"/>
  <c r="R13" i="13"/>
  <c r="AP12" i="13"/>
  <c r="AJ12" i="13"/>
  <c r="H11" i="13"/>
  <c r="H10" i="13"/>
  <c r="AB3" i="13"/>
  <c r="AK3" i="13"/>
  <c r="M3" i="13"/>
  <c r="M21" i="13" l="1"/>
  <c r="O21" i="13" s="1"/>
  <c r="U21" i="13" s="1"/>
  <c r="U27" i="13" s="1"/>
  <c r="D10" i="13"/>
  <c r="D13" i="13" s="1"/>
  <c r="H13" i="13" s="1"/>
  <c r="Z19" i="13"/>
  <c r="Y21" i="13"/>
  <c r="Y27" i="13" s="1"/>
  <c r="Y8" i="13" s="1"/>
  <c r="X10" i="13" s="1"/>
  <c r="AS23" i="13"/>
  <c r="AS27" i="13" s="1"/>
  <c r="AA27" i="13"/>
  <c r="Z16" i="13"/>
  <c r="AF18" i="13"/>
  <c r="AL18" i="13"/>
  <c r="F27" i="13"/>
  <c r="G22" i="13" s="1"/>
  <c r="J21" i="13"/>
  <c r="AG23" i="13"/>
  <c r="I27" i="13"/>
  <c r="M27" i="13" l="1"/>
  <c r="M8" i="13" s="1"/>
  <c r="L10" i="13" s="1"/>
  <c r="O27" i="13"/>
  <c r="AG27" i="13"/>
  <c r="AL16" i="13"/>
  <c r="AF16" i="13"/>
  <c r="AR18" i="13"/>
  <c r="AL19" i="13"/>
  <c r="AF19" i="13"/>
  <c r="J27" i="13"/>
  <c r="N21" i="13"/>
  <c r="K18" i="13" l="1"/>
  <c r="K19" i="13"/>
  <c r="K20" i="13"/>
  <c r="K17" i="13"/>
  <c r="K22" i="13"/>
  <c r="K16" i="13"/>
  <c r="AE27" i="13"/>
  <c r="AE8" i="13"/>
  <c r="AF20" i="13"/>
  <c r="AR19" i="13"/>
  <c r="N27" i="13"/>
  <c r="T21" i="13"/>
  <c r="AB30" i="13" s="1"/>
  <c r="AR16" i="13"/>
  <c r="K21" i="13"/>
  <c r="K27" i="13" l="1"/>
  <c r="P21" i="13"/>
  <c r="O30" i="13"/>
  <c r="Z21" i="13"/>
  <c r="AA30" i="13" s="1"/>
  <c r="T27" i="13"/>
  <c r="T34" i="13" s="1"/>
  <c r="L11" i="13"/>
  <c r="L12" i="13" s="1"/>
  <c r="L13" i="13" s="1"/>
  <c r="N32" i="13" s="1"/>
  <c r="Q17" i="13"/>
  <c r="Q18" i="13"/>
  <c r="R11" i="13"/>
  <c r="P17" i="13"/>
  <c r="P16" i="13"/>
  <c r="P20" i="13"/>
  <c r="Q20" i="13"/>
  <c r="P22" i="13"/>
  <c r="P19" i="13"/>
  <c r="Q16" i="13"/>
  <c r="Q22" i="13"/>
  <c r="Q19" i="13"/>
  <c r="P18" i="13"/>
  <c r="AL20" i="13"/>
  <c r="Q21" i="13"/>
  <c r="V21" i="13" l="1"/>
  <c r="V17" i="13"/>
  <c r="W17" i="13"/>
  <c r="AR20" i="13"/>
  <c r="P27" i="13"/>
  <c r="W20" i="13"/>
  <c r="V23" i="13"/>
  <c r="X11" i="13"/>
  <c r="V18" i="13"/>
  <c r="AH23" i="13"/>
  <c r="W18" i="13"/>
  <c r="V22" i="13"/>
  <c r="W22" i="13"/>
  <c r="T30" i="13"/>
  <c r="T29" i="13"/>
  <c r="T31" i="13"/>
  <c r="T32" i="13"/>
  <c r="W23" i="13"/>
  <c r="V16" i="13"/>
  <c r="W19" i="13"/>
  <c r="W16" i="13"/>
  <c r="V19" i="13"/>
  <c r="AF21" i="13"/>
  <c r="Z27" i="13"/>
  <c r="W21" i="13"/>
  <c r="AC21" i="13" l="1"/>
  <c r="AB17" i="13"/>
  <c r="AC17" i="13"/>
  <c r="AB31" i="13"/>
  <c r="AA31" i="13"/>
  <c r="X12" i="13"/>
  <c r="X13" i="13" s="1"/>
  <c r="AD12" i="13" s="1"/>
  <c r="AK7" i="13"/>
  <c r="AF27" i="13"/>
  <c r="W27" i="13"/>
  <c r="V27" i="13"/>
  <c r="AC22" i="13"/>
  <c r="AB22" i="13"/>
  <c r="AC20" i="13"/>
  <c r="AB23" i="13"/>
  <c r="AC23" i="13"/>
  <c r="AC18" i="13"/>
  <c r="AB18" i="13"/>
  <c r="AC19" i="13"/>
  <c r="AB16" i="13"/>
  <c r="AC16" i="13"/>
  <c r="AB19" i="13"/>
  <c r="AB21" i="13"/>
  <c r="AH21" i="13" l="1"/>
  <c r="AH17" i="13"/>
  <c r="AI17" i="13"/>
  <c r="AC27" i="13"/>
  <c r="AK25" i="13"/>
  <c r="AL25" i="13" s="1"/>
  <c r="AK21" i="13"/>
  <c r="AK24" i="13"/>
  <c r="AL24" i="13" s="1"/>
  <c r="AH22" i="13"/>
  <c r="AD11" i="13"/>
  <c r="AI22" i="13"/>
  <c r="AI23" i="13"/>
  <c r="AI18" i="13"/>
  <c r="AH18" i="13"/>
  <c r="AH19" i="13"/>
  <c r="AI16" i="13"/>
  <c r="AI19" i="13"/>
  <c r="AH16" i="13"/>
  <c r="AH20" i="13"/>
  <c r="AI20" i="13"/>
  <c r="AB27" i="13"/>
  <c r="AI21" i="13"/>
  <c r="AH27" i="13" l="1"/>
  <c r="AI27" i="13"/>
  <c r="AL21" i="13"/>
  <c r="AK27" i="13"/>
  <c r="AL27" i="13" l="1"/>
  <c r="AJ11" i="13" l="1"/>
  <c r="AN23" i="13"/>
  <c r="AN22" i="13"/>
  <c r="AO22" i="13"/>
  <c r="AO23" i="13"/>
  <c r="AN18" i="13"/>
  <c r="AO18" i="13"/>
  <c r="AO16" i="13"/>
  <c r="AN16" i="13"/>
  <c r="AO19" i="13"/>
  <c r="AN19" i="13"/>
  <c r="AO20" i="13"/>
  <c r="AN20" i="13"/>
  <c r="AO24" i="13"/>
  <c r="AO25" i="13"/>
  <c r="AN24" i="13"/>
  <c r="AN25" i="13"/>
  <c r="AN21" i="13"/>
  <c r="AO21" i="13"/>
  <c r="AO27" i="13" l="1"/>
  <c r="AN27" i="13"/>
  <c r="AQ7" i="13"/>
  <c r="AK8" i="13"/>
  <c r="AJ10" i="13" s="1"/>
  <c r="AJ13" i="13" s="1"/>
  <c r="AQ24" i="13" l="1"/>
  <c r="AR24" i="13" s="1"/>
  <c r="AQ25" i="13"/>
  <c r="AR25" i="13" s="1"/>
  <c r="AQ21" i="13"/>
  <c r="AQ27" i="13" l="1"/>
  <c r="AR21" i="13"/>
  <c r="AR27" i="13" l="1"/>
  <c r="AU22" i="13" l="1"/>
  <c r="AT26" i="13"/>
  <c r="AP11" i="13"/>
  <c r="AQ8" i="13" s="1"/>
  <c r="AP10" i="13" s="1"/>
  <c r="AP13" i="13" s="1"/>
  <c r="AT23" i="13"/>
  <c r="AU23" i="13"/>
  <c r="AU18" i="13"/>
  <c r="AT18" i="13"/>
  <c r="AT16" i="13"/>
  <c r="AU16" i="13"/>
  <c r="AU19" i="13"/>
  <c r="AT19" i="13"/>
  <c r="AT20" i="13"/>
  <c r="AU20" i="13"/>
  <c r="AU25" i="13"/>
  <c r="AT25" i="13"/>
  <c r="AU24" i="13"/>
  <c r="AT24" i="13"/>
  <c r="AT21" i="13"/>
  <c r="AU21" i="13"/>
  <c r="AT27" i="13" l="1"/>
  <c r="AU27" i="13"/>
</calcChain>
</file>

<file path=xl/sharedStrings.xml><?xml version="1.0" encoding="utf-8"?>
<sst xmlns="http://schemas.openxmlformats.org/spreadsheetml/2006/main" count="209" uniqueCount="55">
  <si>
    <t>円</t>
    <rPh sb="0" eb="1">
      <t>エン</t>
    </rPh>
    <phoneticPr fontId="2"/>
  </si>
  <si>
    <t>Post Valuation</t>
    <phoneticPr fontId="2"/>
  </si>
  <si>
    <t>VC①</t>
    <phoneticPr fontId="2"/>
  </si>
  <si>
    <t>VC②</t>
    <phoneticPr fontId="2"/>
  </si>
  <si>
    <t>岩谷先生</t>
    <rPh sb="0" eb="4">
      <t>イワヤセンセイ</t>
    </rPh>
    <phoneticPr fontId="2"/>
  </si>
  <si>
    <t>シリーズA</t>
    <phoneticPr fontId="2"/>
  </si>
  <si>
    <t>シリーズB</t>
    <phoneticPr fontId="2"/>
  </si>
  <si>
    <t>千円</t>
    <rPh sb="0" eb="2">
      <t>センエン</t>
    </rPh>
    <phoneticPr fontId="2"/>
  </si>
  <si>
    <t>-</t>
    <phoneticPr fontId="2"/>
  </si>
  <si>
    <t>資本政策</t>
    <rPh sb="0" eb="2">
      <t>シホン</t>
    </rPh>
    <rPh sb="2" eb="4">
      <t>セイサク</t>
    </rPh>
    <phoneticPr fontId="2"/>
  </si>
  <si>
    <t>手段</t>
    <rPh sb="0" eb="2">
      <t>シュダン</t>
    </rPh>
    <phoneticPr fontId="2"/>
  </si>
  <si>
    <t>第三者割当増資</t>
    <rPh sb="0" eb="3">
      <t>ダイサンシャ</t>
    </rPh>
    <rPh sb="3" eb="7">
      <t>ワリアテゾウシ</t>
    </rPh>
    <phoneticPr fontId="2"/>
  </si>
  <si>
    <t>発行価格</t>
    <rPh sb="0" eb="2">
      <t>ハッコウ</t>
    </rPh>
    <rPh sb="2" eb="4">
      <t>カカク</t>
    </rPh>
    <phoneticPr fontId="2"/>
  </si>
  <si>
    <t>発行株数</t>
    <rPh sb="0" eb="2">
      <t>ハッコウ</t>
    </rPh>
    <rPh sb="2" eb="4">
      <t>カブスウ</t>
    </rPh>
    <phoneticPr fontId="2"/>
  </si>
  <si>
    <t>株</t>
    <rPh sb="0" eb="1">
      <t>カブ</t>
    </rPh>
    <phoneticPr fontId="2"/>
  </si>
  <si>
    <t>割当対象</t>
    <rPh sb="0" eb="1">
      <t>ワ</t>
    </rPh>
    <rPh sb="1" eb="2">
      <t>ア</t>
    </rPh>
    <rPh sb="2" eb="4">
      <t>タイショウ</t>
    </rPh>
    <phoneticPr fontId="2"/>
  </si>
  <si>
    <t>VC</t>
    <phoneticPr fontId="2"/>
  </si>
  <si>
    <t>VC・事業会社</t>
    <rPh sb="3" eb="7">
      <t>ジギョウカイシャ</t>
    </rPh>
    <phoneticPr fontId="2"/>
  </si>
  <si>
    <t>資金調達額</t>
    <rPh sb="0" eb="5">
      <t>シキンチョウタツガク</t>
    </rPh>
    <phoneticPr fontId="2"/>
  </si>
  <si>
    <t>Pre Valuation</t>
    <phoneticPr fontId="2"/>
  </si>
  <si>
    <t>株主</t>
    <rPh sb="0" eb="2">
      <t>カブヌシ</t>
    </rPh>
    <phoneticPr fontId="2"/>
  </si>
  <si>
    <t>割当株数</t>
    <rPh sb="0" eb="2">
      <t>ワリアテ</t>
    </rPh>
    <rPh sb="2" eb="4">
      <t>カブスウ</t>
    </rPh>
    <phoneticPr fontId="2"/>
  </si>
  <si>
    <t>シェア</t>
    <phoneticPr fontId="2"/>
  </si>
  <si>
    <t>％</t>
    <phoneticPr fontId="2"/>
  </si>
  <si>
    <t>合計</t>
    <rPh sb="0" eb="2">
      <t>ゴウケイ</t>
    </rPh>
    <phoneticPr fontId="2"/>
  </si>
  <si>
    <t>設立</t>
    <rPh sb="0" eb="2">
      <t>セツリツ</t>
    </rPh>
    <phoneticPr fontId="2"/>
  </si>
  <si>
    <t>普通株</t>
    <rPh sb="0" eb="3">
      <t>フツウカブ</t>
    </rPh>
    <phoneticPr fontId="2"/>
  </si>
  <si>
    <t>SOプール</t>
    <phoneticPr fontId="2"/>
  </si>
  <si>
    <t>Memo</t>
    <phoneticPr fontId="2"/>
  </si>
  <si>
    <t>投資額</t>
    <rPh sb="0" eb="3">
      <t>トウシガク</t>
    </rPh>
    <phoneticPr fontId="2"/>
  </si>
  <si>
    <t>Pre</t>
    <phoneticPr fontId="2"/>
  </si>
  <si>
    <t>億円</t>
    <rPh sb="0" eb="2">
      <t>オクエン</t>
    </rPh>
    <phoneticPr fontId="2"/>
  </si>
  <si>
    <t>シード</t>
    <phoneticPr fontId="2"/>
  </si>
  <si>
    <t>転換社債</t>
    <rPh sb="0" eb="4">
      <t>テンカンシャサイ</t>
    </rPh>
    <phoneticPr fontId="2"/>
  </si>
  <si>
    <t>プレシード</t>
    <phoneticPr fontId="2"/>
  </si>
  <si>
    <t>譲渡</t>
    <rPh sb="0" eb="2">
      <t>ジョウト</t>
    </rPh>
    <phoneticPr fontId="2"/>
  </si>
  <si>
    <t>譲渡+SO発行</t>
    <rPh sb="0" eb="2">
      <t>ジョウト</t>
    </rPh>
    <rPh sb="5" eb="7">
      <t>ハッコウ</t>
    </rPh>
    <phoneticPr fontId="2"/>
  </si>
  <si>
    <t>普通株*</t>
    <rPh sb="0" eb="3">
      <t>フツウカブ</t>
    </rPh>
    <phoneticPr fontId="2"/>
  </si>
  <si>
    <t>内将来CXO分</t>
    <rPh sb="0" eb="1">
      <t>ウチ</t>
    </rPh>
    <rPh sb="1" eb="3">
      <t>ショウライ</t>
    </rPh>
    <rPh sb="6" eb="7">
      <t>ブン</t>
    </rPh>
    <phoneticPr fontId="2"/>
  </si>
  <si>
    <t>潜在株数</t>
    <rPh sb="0" eb="2">
      <t>センザイ</t>
    </rPh>
    <rPh sb="2" eb="4">
      <t>カブスウ</t>
    </rPh>
    <phoneticPr fontId="2"/>
  </si>
  <si>
    <t>顕在シェア</t>
    <rPh sb="0" eb="2">
      <t>ケンザイ</t>
    </rPh>
    <phoneticPr fontId="2"/>
  </si>
  <si>
    <t>普通株/SO</t>
    <rPh sb="0" eb="3">
      <t>フツウカブ</t>
    </rPh>
    <phoneticPr fontId="2"/>
  </si>
  <si>
    <t>経営陣/名城大</t>
    <rPh sb="0" eb="3">
      <t>ケイエイジン</t>
    </rPh>
    <rPh sb="4" eb="7">
      <t>メイジョウダイ</t>
    </rPh>
    <phoneticPr fontId="2"/>
  </si>
  <si>
    <t>合計シェア</t>
    <rPh sb="0" eb="2">
      <t>ゴウケイ</t>
    </rPh>
    <phoneticPr fontId="2"/>
  </si>
  <si>
    <t>%</t>
    <phoneticPr fontId="2"/>
  </si>
  <si>
    <t>経営陣</t>
    <rPh sb="0" eb="3">
      <t>ケイエイジン</t>
    </rPh>
    <phoneticPr fontId="2"/>
  </si>
  <si>
    <t>米国法人転換+新規株式発行</t>
    <rPh sb="0" eb="4">
      <t>ベイコクホウジン</t>
    </rPh>
    <rPh sb="4" eb="6">
      <t>テンカン</t>
    </rPh>
    <rPh sb="7" eb="11">
      <t>シンキカブシキ</t>
    </rPh>
    <rPh sb="11" eb="13">
      <t>ハッコウ</t>
    </rPh>
    <phoneticPr fontId="2"/>
  </si>
  <si>
    <t>潜在込み株式数</t>
    <rPh sb="0" eb="2">
      <t>センザイ</t>
    </rPh>
    <rPh sb="2" eb="3">
      <t>コ</t>
    </rPh>
    <rPh sb="4" eb="7">
      <t>カブシキスウ</t>
    </rPh>
    <phoneticPr fontId="2"/>
  </si>
  <si>
    <t>米国CXO</t>
    <rPh sb="0" eb="2">
      <t>ベイコク</t>
    </rPh>
    <phoneticPr fontId="2"/>
  </si>
  <si>
    <t>*国内COO/CTOへの譲渡前はUTECが普通株を一時預かりとする</t>
    <rPh sb="1" eb="3">
      <t>コクナイ</t>
    </rPh>
    <rPh sb="12" eb="15">
      <t>ジョウトマエ</t>
    </rPh>
    <rPh sb="21" eb="24">
      <t>フツウカブ</t>
    </rPh>
    <rPh sb="25" eb="28">
      <t>イチジアズ</t>
    </rPh>
    <phoneticPr fontId="2"/>
  </si>
  <si>
    <t>日本CEO</t>
    <rPh sb="0" eb="2">
      <t>ニホン</t>
    </rPh>
    <phoneticPr fontId="2"/>
  </si>
  <si>
    <t>日本COO</t>
    <rPh sb="0" eb="2">
      <t>ニホン</t>
    </rPh>
    <phoneticPr fontId="2"/>
  </si>
  <si>
    <t>日本CTO</t>
    <rPh sb="0" eb="2">
      <t>ニホン</t>
    </rPh>
    <phoneticPr fontId="2"/>
  </si>
  <si>
    <t>株価をxxxx円に固定</t>
    <rPh sb="0" eb="2">
      <t>カブカ</t>
    </rPh>
    <rPh sb="7" eb="8">
      <t>エン</t>
    </rPh>
    <rPh sb="9" eb="11">
      <t>コテイ</t>
    </rPh>
    <phoneticPr fontId="2"/>
  </si>
  <si>
    <t>xxx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</si>
</sst>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%"/>
    <numFmt numFmtId="179" formatCode="0.0000%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 tint="-4.9989318521683403E-2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C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auto="1"/>
      </right>
      <top/>
      <bottom style="hair">
        <color auto="1"/>
      </bottom>
      <diagonal/>
    </border>
    <border>
      <left style="thin">
        <color indexed="64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38" fontId="4" fillId="0" borderId="0" xfId="1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8" fontId="0" fillId="0" borderId="10" xfId="1" applyFont="1" applyBorder="1" applyAlignment="1">
      <alignment horizontal="center" vertical="center"/>
    </xf>
    <xf numFmtId="38" fontId="0" fillId="0" borderId="8" xfId="1" applyFont="1" applyBorder="1" applyAlignment="1">
      <alignment horizontal="center" vertical="center"/>
    </xf>
    <xf numFmtId="38" fontId="0" fillId="0" borderId="9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8" fontId="0" fillId="0" borderId="17" xfId="1" applyFont="1" applyBorder="1" applyAlignment="1">
      <alignment horizontal="center" vertical="center"/>
    </xf>
    <xf numFmtId="38" fontId="0" fillId="0" borderId="16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8" fontId="0" fillId="0" borderId="21" xfId="1" applyFont="1" applyBorder="1" applyAlignment="1">
      <alignment horizontal="center" vertical="center"/>
    </xf>
    <xf numFmtId="38" fontId="0" fillId="0" borderId="23" xfId="1" applyFont="1" applyFill="1" applyBorder="1" applyAlignment="1">
      <alignment horizontal="center" vertical="center"/>
    </xf>
    <xf numFmtId="38" fontId="0" fillId="5" borderId="24" xfId="1" applyFont="1" applyFill="1" applyBorder="1" applyAlignment="1">
      <alignment horizontal="center" vertical="center"/>
    </xf>
    <xf numFmtId="38" fontId="0" fillId="5" borderId="7" xfId="1" applyFont="1" applyFill="1" applyBorder="1" applyAlignment="1">
      <alignment horizontal="center" vertical="center"/>
    </xf>
    <xf numFmtId="38" fontId="0" fillId="5" borderId="11" xfId="1" applyFont="1" applyFill="1" applyBorder="1" applyAlignment="1">
      <alignment horizontal="center" vertical="center"/>
    </xf>
    <xf numFmtId="38" fontId="0" fillId="5" borderId="25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38" fontId="6" fillId="0" borderId="0" xfId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8" fontId="0" fillId="6" borderId="27" xfId="1" applyFont="1" applyFill="1" applyBorder="1" applyAlignment="1">
      <alignment horizontal="center" vertical="center"/>
    </xf>
    <xf numFmtId="38" fontId="0" fillId="6" borderId="13" xfId="1" applyFont="1" applyFill="1" applyBorder="1" applyAlignment="1">
      <alignment horizontal="center" vertical="center"/>
    </xf>
    <xf numFmtId="177" fontId="0" fillId="0" borderId="14" xfId="2" applyNumberFormat="1" applyFont="1" applyBorder="1" applyAlignment="1">
      <alignment horizontal="center" vertical="center"/>
    </xf>
    <xf numFmtId="38" fontId="0" fillId="6" borderId="28" xfId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38" fontId="0" fillId="6" borderId="31" xfId="1" applyFont="1" applyFill="1" applyBorder="1" applyAlignment="1">
      <alignment horizontal="center" vertical="center"/>
    </xf>
    <xf numFmtId="38" fontId="0" fillId="6" borderId="32" xfId="1" applyFont="1" applyFill="1" applyBorder="1" applyAlignment="1">
      <alignment horizontal="center" vertical="center"/>
    </xf>
    <xf numFmtId="177" fontId="0" fillId="0" borderId="33" xfId="2" applyNumberFormat="1" applyFont="1" applyBorder="1" applyAlignment="1">
      <alignment horizontal="center" vertical="center"/>
    </xf>
    <xf numFmtId="176" fontId="0" fillId="0" borderId="0" xfId="1" applyNumberFormat="1" applyFont="1">
      <alignment vertical="center"/>
    </xf>
    <xf numFmtId="177" fontId="0" fillId="0" borderId="17" xfId="2" applyNumberFormat="1" applyFont="1" applyBorder="1" applyAlignment="1">
      <alignment horizontal="center" vertical="center"/>
    </xf>
    <xf numFmtId="38" fontId="0" fillId="6" borderId="35" xfId="1" applyFont="1" applyFill="1" applyBorder="1" applyAlignment="1">
      <alignment horizontal="center" vertical="center"/>
    </xf>
    <xf numFmtId="38" fontId="0" fillId="6" borderId="16" xfId="1" applyFont="1" applyFill="1" applyBorder="1" applyAlignment="1">
      <alignment horizontal="center" vertical="center"/>
    </xf>
    <xf numFmtId="38" fontId="0" fillId="6" borderId="36" xfId="1" applyFont="1" applyFill="1" applyBorder="1" applyAlignment="1">
      <alignment horizontal="center" vertical="center"/>
    </xf>
    <xf numFmtId="38" fontId="0" fillId="6" borderId="23" xfId="1" applyFont="1" applyFill="1" applyBorder="1" applyAlignment="1">
      <alignment horizontal="center" vertical="center"/>
    </xf>
    <xf numFmtId="177" fontId="0" fillId="0" borderId="21" xfId="2" applyNumberFormat="1" applyFont="1" applyBorder="1" applyAlignment="1">
      <alignment horizontal="center" vertical="center"/>
    </xf>
    <xf numFmtId="38" fontId="0" fillId="0" borderId="39" xfId="1" applyFont="1" applyBorder="1" applyAlignment="1">
      <alignment horizontal="center" vertical="center"/>
    </xf>
    <xf numFmtId="38" fontId="0" fillId="0" borderId="37" xfId="1" applyFont="1" applyBorder="1" applyAlignment="1">
      <alignment horizontal="center" vertical="center"/>
    </xf>
    <xf numFmtId="9" fontId="0" fillId="0" borderId="37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5" fillId="6" borderId="27" xfId="1" applyFont="1" applyFill="1" applyBorder="1" applyAlignment="1">
      <alignment horizontal="center" vertical="center"/>
    </xf>
    <xf numFmtId="38" fontId="5" fillId="6" borderId="31" xfId="1" applyFont="1" applyFill="1" applyBorder="1" applyAlignment="1">
      <alignment horizontal="center" vertical="center"/>
    </xf>
    <xf numFmtId="38" fontId="5" fillId="6" borderId="35" xfId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7" fillId="6" borderId="35" xfId="1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38" fontId="7" fillId="6" borderId="27" xfId="1" applyFont="1" applyFill="1" applyBorder="1" applyAlignment="1">
      <alignment horizontal="center" vertical="center"/>
    </xf>
    <xf numFmtId="38" fontId="0" fillId="0" borderId="35" xfId="1" applyFont="1" applyFill="1" applyBorder="1" applyAlignment="1">
      <alignment horizontal="center" vertical="center"/>
    </xf>
    <xf numFmtId="38" fontId="0" fillId="0" borderId="36" xfId="1" applyFont="1" applyFill="1" applyBorder="1" applyAlignment="1">
      <alignment horizontal="center" vertical="center"/>
    </xf>
    <xf numFmtId="38" fontId="7" fillId="6" borderId="40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9" fontId="0" fillId="0" borderId="39" xfId="2" applyFont="1" applyBorder="1" applyAlignment="1">
      <alignment horizontal="center" vertical="center"/>
    </xf>
    <xf numFmtId="38" fontId="5" fillId="4" borderId="35" xfId="1" applyFont="1" applyFill="1" applyBorder="1" applyAlignment="1">
      <alignment horizontal="center" vertical="center"/>
    </xf>
    <xf numFmtId="38" fontId="7" fillId="4" borderId="40" xfId="1" applyFont="1" applyFill="1" applyBorder="1" applyAlignment="1">
      <alignment horizontal="center" vertical="center"/>
    </xf>
    <xf numFmtId="177" fontId="0" fillId="4" borderId="33" xfId="2" applyNumberFormat="1" applyFont="1" applyFill="1" applyBorder="1" applyAlignment="1">
      <alignment horizontal="center" vertical="center"/>
    </xf>
    <xf numFmtId="38" fontId="7" fillId="4" borderId="35" xfId="1" applyFont="1" applyFill="1" applyBorder="1" applyAlignment="1">
      <alignment horizontal="center" vertical="center"/>
    </xf>
    <xf numFmtId="38" fontId="0" fillId="4" borderId="35" xfId="1" applyFont="1" applyFill="1" applyBorder="1" applyAlignment="1">
      <alignment horizontal="center" vertical="center"/>
    </xf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177" fontId="0" fillId="0" borderId="0" xfId="0" applyNumberFormat="1" applyAlignment="1">
      <alignment horizontal="center" vertical="center"/>
    </xf>
    <xf numFmtId="38" fontId="0" fillId="5" borderId="1" xfId="1" applyFont="1" applyFill="1" applyBorder="1" applyAlignment="1">
      <alignment horizontal="center" vertical="center"/>
    </xf>
    <xf numFmtId="38" fontId="0" fillId="5" borderId="6" xfId="1" applyFont="1" applyFill="1" applyBorder="1" applyAlignment="1">
      <alignment horizontal="center" vertical="center"/>
    </xf>
    <xf numFmtId="177" fontId="0" fillId="0" borderId="45" xfId="2" applyNumberFormat="1" applyFont="1" applyBorder="1" applyAlignment="1">
      <alignment horizontal="center" vertical="center"/>
    </xf>
    <xf numFmtId="177" fontId="0" fillId="0" borderId="18" xfId="2" applyNumberFormat="1" applyFont="1" applyBorder="1" applyAlignment="1">
      <alignment horizontal="center" vertical="center"/>
    </xf>
    <xf numFmtId="177" fontId="0" fillId="0" borderId="46" xfId="2" applyNumberFormat="1" applyFont="1" applyBorder="1" applyAlignment="1">
      <alignment horizontal="center" vertical="center"/>
    </xf>
    <xf numFmtId="38" fontId="0" fillId="5" borderId="47" xfId="1" applyFont="1" applyFill="1" applyBorder="1" applyAlignment="1">
      <alignment horizontal="center" vertical="center"/>
    </xf>
    <xf numFmtId="38" fontId="0" fillId="6" borderId="48" xfId="1" applyFont="1" applyFill="1" applyBorder="1" applyAlignment="1">
      <alignment horizontal="center" vertical="center"/>
    </xf>
    <xf numFmtId="38" fontId="0" fillId="6" borderId="49" xfId="1" applyFont="1" applyFill="1" applyBorder="1" applyAlignment="1">
      <alignment horizontal="center" vertical="center"/>
    </xf>
    <xf numFmtId="38" fontId="0" fillId="6" borderId="50" xfId="1" applyFont="1" applyFill="1" applyBorder="1" applyAlignment="1">
      <alignment horizontal="center" vertical="center"/>
    </xf>
    <xf numFmtId="38" fontId="0" fillId="4" borderId="50" xfId="1" applyFont="1" applyFill="1" applyBorder="1" applyAlignment="1">
      <alignment horizontal="center" vertical="center"/>
    </xf>
    <xf numFmtId="38" fontId="0" fillId="6" borderId="51" xfId="1" applyFont="1" applyFill="1" applyBorder="1" applyAlignment="1">
      <alignment horizontal="center" vertical="center"/>
    </xf>
    <xf numFmtId="38" fontId="0" fillId="5" borderId="52" xfId="1" applyFont="1" applyFill="1" applyBorder="1" applyAlignment="1">
      <alignment horizontal="center" vertical="center"/>
    </xf>
    <xf numFmtId="38" fontId="0" fillId="5" borderId="53" xfId="1" applyFont="1" applyFill="1" applyBorder="1" applyAlignment="1">
      <alignment horizontal="center" vertical="center"/>
    </xf>
    <xf numFmtId="38" fontId="0" fillId="5" borderId="4" xfId="1" applyFont="1" applyFill="1" applyBorder="1" applyAlignment="1">
      <alignment horizontal="center" vertical="center"/>
    </xf>
    <xf numFmtId="38" fontId="0" fillId="5" borderId="10" xfId="1" applyFont="1" applyFill="1" applyBorder="1" applyAlignment="1">
      <alignment horizontal="center" vertical="center"/>
    </xf>
    <xf numFmtId="177" fontId="0" fillId="4" borderId="45" xfId="2" applyNumberFormat="1" applyFont="1" applyFill="1" applyBorder="1" applyAlignment="1">
      <alignment horizontal="center" vertical="center"/>
    </xf>
    <xf numFmtId="177" fontId="0" fillId="4" borderId="14" xfId="2" applyNumberFormat="1" applyFont="1" applyFill="1" applyBorder="1" applyAlignment="1">
      <alignment horizontal="center" vertical="center"/>
    </xf>
    <xf numFmtId="55" fontId="0" fillId="5" borderId="6" xfId="0" applyNumberForma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55" fontId="0" fillId="5" borderId="5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55" fontId="0" fillId="5" borderId="6" xfId="0" applyNumberFormat="1" applyFill="1" applyBorder="1" applyAlignment="1">
      <alignment horizontal="center" vertical="center"/>
    </xf>
    <xf numFmtId="55" fontId="0" fillId="5" borderId="7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0" borderId="5" xfId="1" applyFont="1" applyBorder="1" applyAlignment="1">
      <alignment horizontal="center" vertical="center"/>
    </xf>
    <xf numFmtId="38" fontId="0" fillId="0" borderId="6" xfId="1" applyFont="1" applyBorder="1" applyAlignment="1">
      <alignment horizontal="center" vertical="center"/>
    </xf>
    <xf numFmtId="38" fontId="0" fillId="0" borderId="7" xfId="1" applyFont="1" applyBorder="1" applyAlignment="1">
      <alignment horizontal="center" vertical="center"/>
    </xf>
    <xf numFmtId="38" fontId="0" fillId="0" borderId="2" xfId="1" applyFont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38" fontId="0" fillId="0" borderId="4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8" fontId="0" fillId="6" borderId="8" xfId="1" applyFont="1" applyFill="1" applyBorder="1" applyAlignment="1">
      <alignment horizontal="center" vertical="center"/>
    </xf>
    <xf numFmtId="38" fontId="0" fillId="6" borderId="41" xfId="1" applyFont="1" applyFill="1" applyBorder="1" applyAlignment="1">
      <alignment horizontal="center" vertical="center"/>
    </xf>
    <xf numFmtId="38" fontId="0" fillId="6" borderId="42" xfId="1" applyFont="1" applyFill="1" applyBorder="1" applyAlignment="1">
      <alignment horizontal="center" vertical="center"/>
    </xf>
    <xf numFmtId="38" fontId="0" fillId="6" borderId="43" xfId="1" applyFont="1" applyFill="1" applyBorder="1" applyAlignment="1">
      <alignment horizontal="center" vertical="center"/>
    </xf>
    <xf numFmtId="38" fontId="0" fillId="0" borderId="41" xfId="1" applyFont="1" applyBorder="1" applyAlignment="1">
      <alignment horizontal="center" vertical="center"/>
    </xf>
    <xf numFmtId="38" fontId="0" fillId="0" borderId="43" xfId="1" applyFont="1" applyBorder="1" applyAlignment="1">
      <alignment horizontal="center" vertical="center"/>
    </xf>
    <xf numFmtId="38" fontId="0" fillId="0" borderId="10" xfId="1" applyFont="1" applyBorder="1" applyAlignment="1">
      <alignment horizontal="center" vertical="center"/>
    </xf>
    <xf numFmtId="38" fontId="0" fillId="0" borderId="3" xfId="1" applyFont="1" applyBorder="1" applyAlignment="1">
      <alignment horizontal="center" vertical="center"/>
    </xf>
    <xf numFmtId="38" fontId="0" fillId="0" borderId="44" xfId="1" applyFont="1" applyBorder="1" applyAlignment="1">
      <alignment horizontal="center" vertical="center"/>
    </xf>
    <xf numFmtId="38" fontId="0" fillId="6" borderId="9" xfId="1" applyFont="1" applyFill="1" applyBorder="1" applyAlignment="1">
      <alignment horizontal="center" vertical="center"/>
    </xf>
    <xf numFmtId="38" fontId="0" fillId="6" borderId="3" xfId="1" applyFont="1" applyFill="1" applyBorder="1" applyAlignment="1">
      <alignment horizontal="center" vertical="center"/>
    </xf>
    <xf numFmtId="38" fontId="0" fillId="6" borderId="0" xfId="1" applyFont="1" applyFill="1" applyBorder="1" applyAlignment="1">
      <alignment horizontal="center" vertical="center"/>
    </xf>
    <xf numFmtId="38" fontId="0" fillId="6" borderId="44" xfId="1" applyFont="1" applyFill="1" applyBorder="1" applyAlignment="1">
      <alignment horizontal="center" vertical="center"/>
    </xf>
    <xf numFmtId="38" fontId="0" fillId="6" borderId="10" xfId="1" applyFont="1" applyFill="1" applyBorder="1" applyAlignment="1">
      <alignment horizontal="center" vertical="center"/>
    </xf>
    <xf numFmtId="38" fontId="0" fillId="6" borderId="2" xfId="1" applyFont="1" applyFill="1" applyBorder="1" applyAlignment="1">
      <alignment horizontal="center" vertical="center"/>
    </xf>
    <xf numFmtId="38" fontId="0" fillId="6" borderId="1" xfId="1" applyFont="1" applyFill="1" applyBorder="1" applyAlignment="1">
      <alignment horizontal="center" vertical="center"/>
    </xf>
    <xf numFmtId="38" fontId="0" fillId="6" borderId="4" xfId="1" applyFont="1" applyFill="1" applyBorder="1" applyAlignment="1">
      <alignment horizontal="center" vertical="center"/>
    </xf>
    <xf numFmtId="38" fontId="0" fillId="0" borderId="14" xfId="1" applyFont="1" applyBorder="1" applyAlignment="1">
      <alignment horizontal="center" vertical="center"/>
    </xf>
    <xf numFmtId="38" fontId="0" fillId="0" borderId="12" xfId="1" applyFont="1" applyBorder="1" applyAlignment="1">
      <alignment horizontal="center" vertical="center"/>
    </xf>
    <xf numFmtId="38" fontId="0" fillId="0" borderId="45" xfId="1" applyFont="1" applyBorder="1" applyAlignment="1">
      <alignment horizontal="center" vertical="center"/>
    </xf>
    <xf numFmtId="38" fontId="0" fillId="0" borderId="13" xfId="1" applyFont="1" applyBorder="1" applyAlignment="1">
      <alignment horizontal="center" vertical="center"/>
    </xf>
    <xf numFmtId="38" fontId="0" fillId="0" borderId="15" xfId="1" applyFont="1" applyBorder="1" applyAlignment="1">
      <alignment horizontal="center" vertical="center"/>
    </xf>
    <xf numFmtId="38" fontId="0" fillId="0" borderId="18" xfId="1" applyFont="1" applyBorder="1" applyAlignment="1">
      <alignment horizontal="center" vertical="center"/>
    </xf>
    <xf numFmtId="38" fontId="0" fillId="0" borderId="16" xfId="1" applyFont="1" applyBorder="1" applyAlignment="1">
      <alignment horizontal="center" vertical="center"/>
    </xf>
    <xf numFmtId="38" fontId="0" fillId="0" borderId="17" xfId="1" applyFont="1" applyBorder="1" applyAlignment="1">
      <alignment horizontal="center" vertical="center"/>
    </xf>
    <xf numFmtId="38" fontId="7" fillId="0" borderId="15" xfId="1" applyFont="1" applyBorder="1" applyAlignment="1">
      <alignment horizontal="center" vertical="center"/>
    </xf>
    <xf numFmtId="38" fontId="7" fillId="0" borderId="18" xfId="1" applyFont="1" applyBorder="1" applyAlignment="1">
      <alignment horizontal="center" vertical="center"/>
    </xf>
    <xf numFmtId="38" fontId="7" fillId="0" borderId="16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8" fontId="0" fillId="0" borderId="19" xfId="1" applyFont="1" applyBorder="1" applyAlignment="1">
      <alignment horizontal="center" vertical="center"/>
    </xf>
    <xf numFmtId="38" fontId="0" fillId="0" borderId="46" xfId="1" applyFont="1" applyBorder="1" applyAlignment="1">
      <alignment horizontal="center" vertical="center"/>
    </xf>
    <xf numFmtId="38" fontId="0" fillId="0" borderId="23" xfId="1" applyFont="1" applyBorder="1" applyAlignment="1">
      <alignment horizontal="center" vertical="center"/>
    </xf>
    <xf numFmtId="38" fontId="0" fillId="0" borderId="20" xfId="1" applyFont="1" applyBorder="1" applyAlignment="1">
      <alignment horizontal="center" vertical="center"/>
    </xf>
    <xf numFmtId="38" fontId="0" fillId="0" borderId="54" xfId="1" applyFont="1" applyBorder="1" applyAlignment="1">
      <alignment horizontal="center" vertical="center"/>
    </xf>
    <xf numFmtId="38" fontId="0" fillId="0" borderId="55" xfId="1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38" fontId="0" fillId="0" borderId="21" xfId="1" applyFont="1" applyBorder="1" applyAlignment="1">
      <alignment horizontal="center" vertical="center"/>
    </xf>
    <xf numFmtId="38" fontId="0" fillId="0" borderId="22" xfId="1" applyFont="1" applyBorder="1" applyAlignment="1">
      <alignment horizontal="center" vertical="center"/>
    </xf>
  </cellXfs>
  <cellStyles count="12">
    <cellStyle name="パーセント" xfId="2" builtinId="5"/>
    <cellStyle name="パーセント 3" xfId="7" xr:uid="{76D6621E-67D4-472B-B64E-39DBE54D3791}"/>
    <cellStyle name="パーセント 3 2" xfId="11" xr:uid="{60DED596-2750-4E3D-8142-4C2C75387776}"/>
    <cellStyle name="パーセント 4" xfId="9" xr:uid="{E1BE25D2-5F2A-4D0F-9740-A16D7E31E419}"/>
    <cellStyle name="桁区切り" xfId="1" builtinId="6"/>
    <cellStyle name="標準" xfId="0" builtinId="0"/>
    <cellStyle name="標準 2" xfId="4" xr:uid="{5CF899B5-39B3-4A5D-866B-011AA5CFC875}"/>
    <cellStyle name="標準 3" xfId="3" xr:uid="{B6FB8181-3609-4E30-93D3-EEE090670D2D}"/>
    <cellStyle name="標準 4" xfId="5" xr:uid="{F0116A53-DB2C-4F6C-BD75-CDC81BD90931}"/>
    <cellStyle name="標準 5" xfId="6" xr:uid="{D3EA744F-91AB-470A-919D-7DF78C022B91}"/>
    <cellStyle name="標準 5 2" xfId="10" xr:uid="{DDE8C1E4-D67B-4F80-9142-CB1828A14553}"/>
    <cellStyle name="標準 6" xfId="8" xr:uid="{BD9E797E-721A-4BC6-9A7F-F332F200A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15158</xdr:colOff>
      <xdr:row>0</xdr:row>
      <xdr:rowOff>161854</xdr:rowOff>
    </xdr:from>
    <xdr:to>
      <xdr:col>35</xdr:col>
      <xdr:colOff>23472</xdr:colOff>
      <xdr:row>26</xdr:row>
      <xdr:rowOff>207903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364174E-6EDF-4088-8946-CA8FEE101915}"/>
            </a:ext>
          </a:extLst>
        </xdr:cNvPr>
        <xdr:cNvSpPr/>
      </xdr:nvSpPr>
      <xdr:spPr>
        <a:xfrm>
          <a:off x="13293008" y="161854"/>
          <a:ext cx="13038514" cy="6189674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enny_chin/Desktop/&#25104;&#26524;&#29289;&#12469;&#12531;&#12503;&#12523;/&#36001;&#21209;&#12514;&#12487;&#12523;/&#12514;&#12487;&#12523;&#30740;&#31350;/20140611%20Projection/Projection%20&#65403;&#65437;&#65420;&#65439;&#65433;/Sample%20Solar.xlsb" TargetMode="External"/><Relationship Id="rId1" Type="http://schemas.openxmlformats.org/officeDocument/2006/relationships/externalLinkPath" Target="/Users/lenny_chin/Desktop/&#25104;&#26524;&#29289;&#12469;&#12531;&#12503;&#12523;/&#36001;&#21209;&#12514;&#12487;&#12523;/&#12514;&#12487;&#12523;&#30740;&#31350;/20140611%20Projection/Projection%20&#65403;&#65437;&#65420;&#65439;&#65433;/Sample%20Sola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art Data"/>
      <sheetName val="Navigation"/>
      <sheetName val="Output&gt;"/>
      <sheetName val="Dashboard"/>
      <sheetName val="Output A"/>
      <sheetName val="Output M"/>
      <sheetName val="Investment"/>
      <sheetName val="Inputs&gt;"/>
      <sheetName val="Input A"/>
      <sheetName val="Funding M"/>
      <sheetName val="Calc&gt;"/>
      <sheetName val="Const Calc M"/>
      <sheetName val="Op Calc M"/>
      <sheetName val="Tax Calc M"/>
      <sheetName val="BMS2"/>
      <sheetName val="Settings"/>
      <sheetName val="Version control"/>
      <sheetName val="Printer"/>
      <sheetName val="NavToolbar 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1">
          <cell r="F41">
            <v>0</v>
          </cell>
        </row>
        <row r="45">
          <cell r="F45">
            <v>0</v>
          </cell>
        </row>
        <row r="46">
          <cell r="F46">
            <v>51956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CB8B-28D0-40F3-8DA8-F199B14E5F86}">
  <dimension ref="A2:BA38"/>
  <sheetViews>
    <sheetView tabSelected="1" zoomScale="92" workbookViewId="0">
      <selection activeCell="A24" sqref="A24"/>
    </sheetView>
  </sheetViews>
  <sheetFormatPr defaultColWidth="8.59765625" defaultRowHeight="18" x14ac:dyDescent="0.45"/>
  <cols>
    <col min="2" max="2" width="15.09765625" style="1" customWidth="1"/>
    <col min="3" max="3" width="17.5" style="1" customWidth="1"/>
    <col min="4" max="47" width="9.5" style="1" customWidth="1"/>
    <col min="48" max="48" width="21.59765625" customWidth="1"/>
    <col min="49" max="49" width="19" customWidth="1"/>
    <col min="50" max="50" width="22.09765625" customWidth="1"/>
    <col min="51" max="51" width="19.19921875" customWidth="1"/>
    <col min="52" max="52" width="15" bestFit="1" customWidth="1"/>
  </cols>
  <sheetData>
    <row r="2" spans="2:53" x14ac:dyDescent="0.45">
      <c r="D2" s="103" t="s">
        <v>25</v>
      </c>
      <c r="E2" s="103"/>
      <c r="F2" s="103"/>
      <c r="G2" s="103"/>
      <c r="H2" s="103" t="s">
        <v>35</v>
      </c>
      <c r="I2" s="103"/>
      <c r="J2" s="103"/>
      <c r="K2" s="103"/>
      <c r="L2" s="104" t="s">
        <v>34</v>
      </c>
      <c r="M2" s="104"/>
      <c r="N2" s="104"/>
      <c r="O2" s="104"/>
      <c r="P2" s="104"/>
      <c r="Q2" s="104"/>
      <c r="R2" s="103" t="s">
        <v>36</v>
      </c>
      <c r="S2" s="103"/>
      <c r="T2" s="103"/>
      <c r="U2" s="103"/>
      <c r="V2" s="103"/>
      <c r="W2" s="103"/>
      <c r="X2" s="104" t="s">
        <v>32</v>
      </c>
      <c r="Y2" s="104"/>
      <c r="Z2" s="104"/>
      <c r="AA2" s="104"/>
      <c r="AB2" s="104"/>
      <c r="AC2" s="104"/>
      <c r="AD2" s="103" t="s">
        <v>46</v>
      </c>
      <c r="AE2" s="103"/>
      <c r="AF2" s="103"/>
      <c r="AG2" s="103"/>
      <c r="AH2" s="103"/>
      <c r="AI2" s="103"/>
      <c r="AJ2" s="95" t="s">
        <v>5</v>
      </c>
      <c r="AK2" s="95"/>
      <c r="AL2" s="95"/>
      <c r="AM2" s="95"/>
      <c r="AN2" s="95"/>
      <c r="AO2" s="95"/>
      <c r="AP2" s="96" t="s">
        <v>6</v>
      </c>
      <c r="AQ2" s="96"/>
      <c r="AR2" s="96"/>
      <c r="AS2" s="96"/>
      <c r="AT2" s="96"/>
      <c r="AU2" s="96"/>
    </row>
    <row r="3" spans="2:53" s="5" customFormat="1" x14ac:dyDescent="0.4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>
        <f>400000000/300000</f>
        <v>1333.3333333333333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 t="e">
        <f>Y7/M7</f>
        <v>#DIV/0!</v>
      </c>
      <c r="AC3" s="3"/>
      <c r="AD3" s="2"/>
      <c r="AE3" s="2"/>
      <c r="AF3" s="2"/>
      <c r="AG3" s="2"/>
      <c r="AH3" s="2"/>
      <c r="AI3" s="2"/>
      <c r="AJ3" s="2"/>
      <c r="AK3" s="2">
        <f>400000000/300000</f>
        <v>1333.3333333333333</v>
      </c>
      <c r="AL3" s="2"/>
      <c r="AM3" s="2"/>
      <c r="AN3" s="2"/>
      <c r="AO3" s="2"/>
      <c r="AP3" s="2"/>
      <c r="AQ3" s="2"/>
      <c r="AR3" s="4"/>
      <c r="AS3" s="4"/>
      <c r="AT3" s="4"/>
      <c r="AU3" s="4"/>
      <c r="AV3"/>
      <c r="AW3"/>
      <c r="AX3"/>
      <c r="AY3"/>
    </row>
    <row r="4" spans="2:53" x14ac:dyDescent="0.45">
      <c r="B4" s="97"/>
      <c r="C4" s="98"/>
      <c r="D4" s="99">
        <v>45809</v>
      </c>
      <c r="E4" s="100"/>
      <c r="F4" s="100"/>
      <c r="G4" s="98"/>
      <c r="H4" s="99">
        <v>45809</v>
      </c>
      <c r="I4" s="100"/>
      <c r="J4" s="100"/>
      <c r="K4" s="98"/>
      <c r="L4" s="99">
        <v>45870</v>
      </c>
      <c r="M4" s="101"/>
      <c r="N4" s="101"/>
      <c r="O4" s="101"/>
      <c r="P4" s="101"/>
      <c r="Q4" s="102"/>
      <c r="R4" s="99">
        <v>46082</v>
      </c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2"/>
      <c r="AD4" s="88"/>
      <c r="AE4" s="88"/>
      <c r="AF4" s="88"/>
      <c r="AG4" s="88"/>
      <c r="AH4" s="88"/>
      <c r="AI4" s="88"/>
      <c r="AJ4" s="99">
        <v>46631</v>
      </c>
      <c r="AK4" s="101"/>
      <c r="AL4" s="101"/>
      <c r="AM4" s="101"/>
      <c r="AN4" s="101"/>
      <c r="AO4" s="102"/>
      <c r="AP4" s="99">
        <v>47209</v>
      </c>
      <c r="AQ4" s="101"/>
      <c r="AR4" s="101"/>
      <c r="AS4" s="101"/>
      <c r="AT4" s="101"/>
      <c r="AU4" s="102"/>
    </row>
    <row r="5" spans="2:53" x14ac:dyDescent="0.45">
      <c r="B5" s="6"/>
      <c r="C5" s="7" t="s">
        <v>28</v>
      </c>
      <c r="D5" s="118"/>
      <c r="E5" s="118"/>
      <c r="F5" s="118"/>
      <c r="G5" s="118"/>
      <c r="H5" s="118"/>
      <c r="I5" s="118"/>
      <c r="J5" s="118"/>
      <c r="K5" s="118"/>
      <c r="L5" s="105" t="s">
        <v>53</v>
      </c>
      <c r="M5" s="106"/>
      <c r="N5" s="106"/>
      <c r="O5" s="106"/>
      <c r="P5" s="106"/>
      <c r="Q5" s="107"/>
      <c r="R5" s="105"/>
      <c r="S5" s="106"/>
      <c r="T5" s="106"/>
      <c r="U5" s="106"/>
      <c r="V5" s="106"/>
      <c r="W5" s="107"/>
      <c r="X5" s="105" t="s">
        <v>53</v>
      </c>
      <c r="Y5" s="106"/>
      <c r="Z5" s="106"/>
      <c r="AA5" s="106"/>
      <c r="AB5" s="106"/>
      <c r="AC5" s="107"/>
      <c r="AD5" s="105"/>
      <c r="AE5" s="106"/>
      <c r="AF5" s="106"/>
      <c r="AG5" s="106"/>
      <c r="AH5" s="106"/>
      <c r="AI5" s="107"/>
      <c r="AJ5" s="105" t="s">
        <v>8</v>
      </c>
      <c r="AK5" s="106"/>
      <c r="AL5" s="106"/>
      <c r="AM5" s="106"/>
      <c r="AN5" s="106"/>
      <c r="AO5" s="107"/>
      <c r="AP5" s="108" t="s">
        <v>8</v>
      </c>
      <c r="AQ5" s="109"/>
      <c r="AR5" s="109"/>
      <c r="AS5" s="109"/>
      <c r="AT5" s="109"/>
      <c r="AU5" s="110"/>
    </row>
    <row r="6" spans="2:53" x14ac:dyDescent="0.45">
      <c r="B6" s="111" t="s">
        <v>9</v>
      </c>
      <c r="C6" s="111"/>
      <c r="D6" s="9" t="s">
        <v>10</v>
      </c>
      <c r="E6" s="112" t="s">
        <v>26</v>
      </c>
      <c r="F6" s="112"/>
      <c r="G6" s="9"/>
      <c r="H6" s="9" t="s">
        <v>10</v>
      </c>
      <c r="I6" s="112" t="s">
        <v>26</v>
      </c>
      <c r="J6" s="112"/>
      <c r="K6" s="9"/>
      <c r="L6" s="9" t="s">
        <v>10</v>
      </c>
      <c r="M6" s="113" t="s">
        <v>33</v>
      </c>
      <c r="N6" s="114"/>
      <c r="O6" s="115"/>
      <c r="P6" s="116"/>
      <c r="Q6" s="117"/>
      <c r="R6" s="9" t="s">
        <v>10</v>
      </c>
      <c r="S6" s="113" t="s">
        <v>41</v>
      </c>
      <c r="T6" s="114"/>
      <c r="U6" s="115"/>
      <c r="V6" s="116"/>
      <c r="W6" s="117"/>
      <c r="X6" s="9" t="s">
        <v>10</v>
      </c>
      <c r="Y6" s="113" t="s">
        <v>11</v>
      </c>
      <c r="Z6" s="114"/>
      <c r="AA6" s="115"/>
      <c r="AB6" s="116"/>
      <c r="AC6" s="117"/>
      <c r="AD6" s="9" t="s">
        <v>10</v>
      </c>
      <c r="AE6" s="113" t="s">
        <v>26</v>
      </c>
      <c r="AF6" s="114"/>
      <c r="AG6" s="115"/>
      <c r="AH6" s="116"/>
      <c r="AI6" s="117"/>
      <c r="AJ6" s="9" t="s">
        <v>10</v>
      </c>
      <c r="AK6" s="113" t="s">
        <v>11</v>
      </c>
      <c r="AL6" s="114"/>
      <c r="AM6" s="115"/>
      <c r="AN6" s="116"/>
      <c r="AO6" s="117"/>
      <c r="AP6" s="10" t="s">
        <v>10</v>
      </c>
      <c r="AQ6" s="122" t="s">
        <v>11</v>
      </c>
      <c r="AR6" s="123"/>
      <c r="AS6" s="124"/>
      <c r="AT6" s="119"/>
      <c r="AU6" s="120"/>
    </row>
    <row r="7" spans="2:53" x14ac:dyDescent="0.45">
      <c r="B7" s="111"/>
      <c r="C7" s="111"/>
      <c r="D7" s="10" t="s">
        <v>12</v>
      </c>
      <c r="E7" s="121"/>
      <c r="F7" s="121"/>
      <c r="G7" s="10" t="s">
        <v>0</v>
      </c>
      <c r="H7" s="10" t="s">
        <v>12</v>
      </c>
      <c r="I7" s="121"/>
      <c r="J7" s="121"/>
      <c r="K7" s="10" t="s">
        <v>0</v>
      </c>
      <c r="L7" s="10" t="s">
        <v>12</v>
      </c>
      <c r="M7" s="122"/>
      <c r="N7" s="123"/>
      <c r="O7" s="124"/>
      <c r="P7" s="119" t="s">
        <v>0</v>
      </c>
      <c r="Q7" s="120"/>
      <c r="R7" s="10" t="s">
        <v>12</v>
      </c>
      <c r="S7" s="122"/>
      <c r="T7" s="123"/>
      <c r="U7" s="124"/>
      <c r="V7" s="119" t="s">
        <v>0</v>
      </c>
      <c r="W7" s="120"/>
      <c r="X7" s="10" t="s">
        <v>12</v>
      </c>
      <c r="Y7" s="122"/>
      <c r="Z7" s="123"/>
      <c r="AA7" s="124"/>
      <c r="AB7" s="119" t="s">
        <v>0</v>
      </c>
      <c r="AC7" s="120"/>
      <c r="AD7" s="10" t="s">
        <v>12</v>
      </c>
      <c r="AE7" s="122"/>
      <c r="AF7" s="123"/>
      <c r="AG7" s="124"/>
      <c r="AH7" s="119" t="s">
        <v>0</v>
      </c>
      <c r="AI7" s="120"/>
      <c r="AJ7" s="10" t="s">
        <v>12</v>
      </c>
      <c r="AK7" s="122" t="e">
        <f>AJ12/X11*1000</f>
        <v>#DIV/0!</v>
      </c>
      <c r="AL7" s="123"/>
      <c r="AM7" s="124"/>
      <c r="AN7" s="119" t="s">
        <v>0</v>
      </c>
      <c r="AO7" s="120"/>
      <c r="AP7" s="10" t="s">
        <v>12</v>
      </c>
      <c r="AQ7" s="122" t="e">
        <f>AP12/AJ11*1000</f>
        <v>#DIV/0!</v>
      </c>
      <c r="AR7" s="123"/>
      <c r="AS7" s="124"/>
      <c r="AT7" s="119" t="s">
        <v>0</v>
      </c>
      <c r="AU7" s="120"/>
    </row>
    <row r="8" spans="2:53" x14ac:dyDescent="0.45">
      <c r="B8" s="111"/>
      <c r="C8" s="111"/>
      <c r="D8" s="10" t="s">
        <v>13</v>
      </c>
      <c r="E8" s="121">
        <f>E27</f>
        <v>0</v>
      </c>
      <c r="F8" s="121"/>
      <c r="G8" s="10" t="s">
        <v>14</v>
      </c>
      <c r="H8" s="10" t="s">
        <v>13</v>
      </c>
      <c r="I8" s="121">
        <v>0</v>
      </c>
      <c r="J8" s="121"/>
      <c r="K8" s="10" t="s">
        <v>14</v>
      </c>
      <c r="L8" s="10" t="s">
        <v>13</v>
      </c>
      <c r="M8" s="122" t="e">
        <f>M27</f>
        <v>#DIV/0!</v>
      </c>
      <c r="N8" s="123"/>
      <c r="O8" s="124"/>
      <c r="P8" s="119" t="s">
        <v>14</v>
      </c>
      <c r="Q8" s="120"/>
      <c r="R8" s="10" t="s">
        <v>13</v>
      </c>
      <c r="S8" s="122">
        <v>0</v>
      </c>
      <c r="T8" s="123"/>
      <c r="U8" s="124"/>
      <c r="V8" s="119" t="s">
        <v>14</v>
      </c>
      <c r="W8" s="120"/>
      <c r="X8" s="10" t="s">
        <v>13</v>
      </c>
      <c r="Y8" s="122" t="e">
        <f>Y27</f>
        <v>#DIV/0!</v>
      </c>
      <c r="Z8" s="123"/>
      <c r="AA8" s="124"/>
      <c r="AB8" s="119" t="s">
        <v>14</v>
      </c>
      <c r="AC8" s="120"/>
      <c r="AD8" s="10" t="s">
        <v>13</v>
      </c>
      <c r="AE8" s="122">
        <f>AE20</f>
        <v>0</v>
      </c>
      <c r="AF8" s="123"/>
      <c r="AG8" s="124"/>
      <c r="AH8" s="119" t="s">
        <v>14</v>
      </c>
      <c r="AI8" s="120"/>
      <c r="AJ8" s="10" t="s">
        <v>13</v>
      </c>
      <c r="AK8" s="122" t="e">
        <f>AJ11-X11</f>
        <v>#DIV/0!</v>
      </c>
      <c r="AL8" s="123"/>
      <c r="AM8" s="124"/>
      <c r="AN8" s="119" t="s">
        <v>14</v>
      </c>
      <c r="AO8" s="120"/>
      <c r="AP8" s="10" t="s">
        <v>13</v>
      </c>
      <c r="AQ8" s="122" t="e">
        <f>AP11-AJ11</f>
        <v>#DIV/0!</v>
      </c>
      <c r="AR8" s="123"/>
      <c r="AS8" s="124"/>
      <c r="AT8" s="119" t="s">
        <v>14</v>
      </c>
      <c r="AU8" s="120"/>
    </row>
    <row r="9" spans="2:53" x14ac:dyDescent="0.45">
      <c r="B9" s="111"/>
      <c r="C9" s="111"/>
      <c r="D9" s="8" t="s">
        <v>15</v>
      </c>
      <c r="E9" s="125" t="s">
        <v>8</v>
      </c>
      <c r="F9" s="125"/>
      <c r="G9" s="8"/>
      <c r="H9" s="8" t="s">
        <v>15</v>
      </c>
      <c r="I9" s="125" t="s">
        <v>8</v>
      </c>
      <c r="J9" s="125"/>
      <c r="K9" s="8"/>
      <c r="L9" s="8" t="s">
        <v>15</v>
      </c>
      <c r="M9" s="126" t="s">
        <v>16</v>
      </c>
      <c r="N9" s="127"/>
      <c r="O9" s="128"/>
      <c r="P9" s="108"/>
      <c r="Q9" s="110"/>
      <c r="R9" s="8" t="s">
        <v>15</v>
      </c>
      <c r="S9" s="126" t="s">
        <v>42</v>
      </c>
      <c r="T9" s="127"/>
      <c r="U9" s="128"/>
      <c r="V9" s="108"/>
      <c r="W9" s="110"/>
      <c r="X9" s="8" t="s">
        <v>15</v>
      </c>
      <c r="Y9" s="126" t="s">
        <v>17</v>
      </c>
      <c r="Z9" s="127"/>
      <c r="AA9" s="128"/>
      <c r="AB9" s="108"/>
      <c r="AC9" s="110"/>
      <c r="AD9" s="8" t="s">
        <v>15</v>
      </c>
      <c r="AE9" s="126" t="s">
        <v>45</v>
      </c>
      <c r="AF9" s="127"/>
      <c r="AG9" s="128"/>
      <c r="AH9" s="108"/>
      <c r="AI9" s="110"/>
      <c r="AJ9" s="8" t="s">
        <v>15</v>
      </c>
      <c r="AK9" s="126" t="s">
        <v>17</v>
      </c>
      <c r="AL9" s="127"/>
      <c r="AM9" s="128"/>
      <c r="AN9" s="108"/>
      <c r="AO9" s="110"/>
      <c r="AP9" s="8" t="s">
        <v>15</v>
      </c>
      <c r="AQ9" s="126" t="s">
        <v>17</v>
      </c>
      <c r="AR9" s="127"/>
      <c r="AS9" s="128"/>
      <c r="AT9" s="108"/>
      <c r="AU9" s="110"/>
    </row>
    <row r="10" spans="2:53" x14ac:dyDescent="0.45">
      <c r="B10" s="11" t="s">
        <v>18</v>
      </c>
      <c r="C10" s="12" t="s">
        <v>7</v>
      </c>
      <c r="D10" s="129">
        <f>E8*E7/1000</f>
        <v>0</v>
      </c>
      <c r="E10" s="129"/>
      <c r="F10" s="129"/>
      <c r="G10" s="129"/>
      <c r="H10" s="129">
        <f>I8*I7/1000</f>
        <v>0</v>
      </c>
      <c r="I10" s="129"/>
      <c r="J10" s="129"/>
      <c r="K10" s="129"/>
      <c r="L10" s="130" t="e">
        <f>M8*M7/1000</f>
        <v>#DIV/0!</v>
      </c>
      <c r="M10" s="131"/>
      <c r="N10" s="131"/>
      <c r="O10" s="131"/>
      <c r="P10" s="131"/>
      <c r="Q10" s="132"/>
      <c r="R10" s="130" t="s">
        <v>8</v>
      </c>
      <c r="S10" s="131"/>
      <c r="T10" s="131"/>
      <c r="U10" s="131"/>
      <c r="V10" s="131"/>
      <c r="W10" s="132"/>
      <c r="X10" s="130" t="e">
        <f>Y8*Y7/1000</f>
        <v>#DIV/0!</v>
      </c>
      <c r="Y10" s="131"/>
      <c r="Z10" s="131"/>
      <c r="AA10" s="131"/>
      <c r="AB10" s="131"/>
      <c r="AC10" s="132"/>
      <c r="AD10" s="130" t="s">
        <v>8</v>
      </c>
      <c r="AE10" s="131"/>
      <c r="AF10" s="131"/>
      <c r="AG10" s="131"/>
      <c r="AH10" s="131"/>
      <c r="AI10" s="132"/>
      <c r="AJ10" s="130" t="e">
        <f>AK7/1000*AK8</f>
        <v>#DIV/0!</v>
      </c>
      <c r="AK10" s="131"/>
      <c r="AL10" s="131"/>
      <c r="AM10" s="131"/>
      <c r="AN10" s="131"/>
      <c r="AO10" s="132"/>
      <c r="AP10" s="130" t="e">
        <f>AQ7/1000*AQ8</f>
        <v>#DIV/0!</v>
      </c>
      <c r="AQ10" s="131"/>
      <c r="AR10" s="131"/>
      <c r="AS10" s="131"/>
      <c r="AT10" s="131"/>
      <c r="AU10" s="132"/>
    </row>
    <row r="11" spans="2:53" x14ac:dyDescent="0.45">
      <c r="B11" s="13" t="s">
        <v>47</v>
      </c>
      <c r="C11" s="14" t="s">
        <v>14</v>
      </c>
      <c r="D11" s="133">
        <f>E8</f>
        <v>0</v>
      </c>
      <c r="E11" s="134"/>
      <c r="F11" s="134"/>
      <c r="G11" s="135"/>
      <c r="H11" s="133">
        <f>I8</f>
        <v>0</v>
      </c>
      <c r="I11" s="134"/>
      <c r="J11" s="134"/>
      <c r="K11" s="135"/>
      <c r="L11" s="133">
        <f>N27+S27</f>
        <v>0</v>
      </c>
      <c r="M11" s="134"/>
      <c r="N11" s="134"/>
      <c r="O11" s="134"/>
      <c r="P11" s="134"/>
      <c r="Q11" s="135"/>
      <c r="R11" s="133" t="e">
        <f>N27+O27</f>
        <v>#DIV/0!</v>
      </c>
      <c r="S11" s="134"/>
      <c r="T11" s="134"/>
      <c r="U11" s="134"/>
      <c r="V11" s="134"/>
      <c r="W11" s="135"/>
      <c r="X11" s="133" t="e">
        <f>T27+U27</f>
        <v>#DIV/0!</v>
      </c>
      <c r="Y11" s="134"/>
      <c r="Z11" s="134"/>
      <c r="AA11" s="134"/>
      <c r="AB11" s="134"/>
      <c r="AC11" s="135"/>
      <c r="AD11" s="133" t="e">
        <f>AF27+AG27</f>
        <v>#DIV/0!</v>
      </c>
      <c r="AE11" s="134"/>
      <c r="AF11" s="134"/>
      <c r="AG11" s="134"/>
      <c r="AH11" s="134"/>
      <c r="AI11" s="135"/>
      <c r="AJ11" s="133" t="e">
        <f>AL27</f>
        <v>#DIV/0!</v>
      </c>
      <c r="AK11" s="134"/>
      <c r="AL11" s="134"/>
      <c r="AM11" s="134"/>
      <c r="AN11" s="134"/>
      <c r="AO11" s="135"/>
      <c r="AP11" s="133" t="e">
        <f>AR27</f>
        <v>#DIV/0!</v>
      </c>
      <c r="AQ11" s="134"/>
      <c r="AR11" s="134"/>
      <c r="AS11" s="134"/>
      <c r="AT11" s="134"/>
      <c r="AU11" s="135"/>
    </row>
    <row r="12" spans="2:53" x14ac:dyDescent="0.45">
      <c r="B12" s="17" t="s">
        <v>19</v>
      </c>
      <c r="C12" s="14" t="s">
        <v>7</v>
      </c>
      <c r="D12" s="136" t="s">
        <v>8</v>
      </c>
      <c r="E12" s="136"/>
      <c r="F12" s="136"/>
      <c r="G12" s="136"/>
      <c r="H12" s="136" t="s">
        <v>8</v>
      </c>
      <c r="I12" s="136"/>
      <c r="J12" s="136"/>
      <c r="K12" s="136"/>
      <c r="L12" s="137">
        <f>L11*M7/1000</f>
        <v>0</v>
      </c>
      <c r="M12" s="138"/>
      <c r="N12" s="138"/>
      <c r="O12" s="138"/>
      <c r="P12" s="138"/>
      <c r="Q12" s="139"/>
      <c r="R12" s="133" t="s">
        <v>8</v>
      </c>
      <c r="S12" s="134"/>
      <c r="T12" s="134"/>
      <c r="U12" s="134"/>
      <c r="V12" s="134"/>
      <c r="W12" s="135"/>
      <c r="X12" s="137" t="e">
        <f>X11*Y7/1000</f>
        <v>#DIV/0!</v>
      </c>
      <c r="Y12" s="138"/>
      <c r="Z12" s="138"/>
      <c r="AA12" s="138"/>
      <c r="AB12" s="138"/>
      <c r="AC12" s="139"/>
      <c r="AD12" s="133" t="e">
        <f>X13</f>
        <v>#DIV/0!</v>
      </c>
      <c r="AE12" s="134"/>
      <c r="AF12" s="134"/>
      <c r="AG12" s="134"/>
      <c r="AH12" s="134"/>
      <c r="AI12" s="135"/>
      <c r="AJ12" s="137">
        <f>AK33*100*1000</f>
        <v>0</v>
      </c>
      <c r="AK12" s="138"/>
      <c r="AL12" s="138"/>
      <c r="AM12" s="138"/>
      <c r="AN12" s="138"/>
      <c r="AO12" s="139"/>
      <c r="AP12" s="137">
        <f>AQ33*100*1000</f>
        <v>0</v>
      </c>
      <c r="AQ12" s="138"/>
      <c r="AR12" s="138"/>
      <c r="AS12" s="138"/>
      <c r="AT12" s="138"/>
      <c r="AU12" s="139"/>
    </row>
    <row r="13" spans="2:53" ht="18.600000000000001" thickBot="1" x14ac:dyDescent="0.5">
      <c r="B13" s="18" t="s">
        <v>1</v>
      </c>
      <c r="C13" s="7" t="s">
        <v>7</v>
      </c>
      <c r="D13" s="156">
        <f>D10</f>
        <v>0</v>
      </c>
      <c r="E13" s="157"/>
      <c r="F13" s="157"/>
      <c r="G13" s="157"/>
      <c r="H13" s="156">
        <f>D13</f>
        <v>0</v>
      </c>
      <c r="I13" s="157"/>
      <c r="J13" s="157"/>
      <c r="K13" s="157"/>
      <c r="L13" s="147" t="e">
        <f>L12+L10</f>
        <v>#DIV/0!</v>
      </c>
      <c r="M13" s="148"/>
      <c r="N13" s="148"/>
      <c r="O13" s="148"/>
      <c r="P13" s="148"/>
      <c r="Q13" s="149"/>
      <c r="R13" s="147" t="str">
        <f>R10</f>
        <v>-</v>
      </c>
      <c r="S13" s="148"/>
      <c r="T13" s="148"/>
      <c r="U13" s="148"/>
      <c r="V13" s="148"/>
      <c r="W13" s="149"/>
      <c r="X13" s="147" t="e">
        <f>X12+X10</f>
        <v>#DIV/0!</v>
      </c>
      <c r="Y13" s="148"/>
      <c r="Z13" s="148"/>
      <c r="AA13" s="148"/>
      <c r="AB13" s="148"/>
      <c r="AC13" s="149"/>
      <c r="AD13" s="147" t="str">
        <f>AD10</f>
        <v>-</v>
      </c>
      <c r="AE13" s="148"/>
      <c r="AF13" s="148"/>
      <c r="AG13" s="148"/>
      <c r="AH13" s="148"/>
      <c r="AI13" s="149"/>
      <c r="AJ13" s="147" t="e">
        <f>AJ12+AJ10</f>
        <v>#DIV/0!</v>
      </c>
      <c r="AK13" s="148"/>
      <c r="AL13" s="148"/>
      <c r="AM13" s="148"/>
      <c r="AN13" s="148"/>
      <c r="AO13" s="149"/>
      <c r="AP13" s="150" t="e">
        <f>AP12+AP10</f>
        <v>#DIV/0!</v>
      </c>
      <c r="AQ13" s="151"/>
      <c r="AR13" s="151"/>
      <c r="AS13" s="151"/>
      <c r="AT13" s="151"/>
      <c r="AU13" s="152"/>
    </row>
    <row r="14" spans="2:53" ht="18.600000000000001" thickTop="1" x14ac:dyDescent="0.45">
      <c r="B14" s="153" t="s">
        <v>20</v>
      </c>
      <c r="C14" s="97"/>
      <c r="D14" s="21" t="s">
        <v>29</v>
      </c>
      <c r="E14" s="21" t="s">
        <v>21</v>
      </c>
      <c r="F14" s="22" t="s">
        <v>13</v>
      </c>
      <c r="G14" s="23" t="s">
        <v>22</v>
      </c>
      <c r="H14" s="21" t="s">
        <v>29</v>
      </c>
      <c r="I14" s="21" t="s">
        <v>21</v>
      </c>
      <c r="J14" s="22" t="s">
        <v>13</v>
      </c>
      <c r="K14" s="23" t="s">
        <v>22</v>
      </c>
      <c r="L14" s="21" t="s">
        <v>29</v>
      </c>
      <c r="M14" s="21" t="s">
        <v>21</v>
      </c>
      <c r="N14" s="22" t="s">
        <v>13</v>
      </c>
      <c r="O14" s="22" t="s">
        <v>39</v>
      </c>
      <c r="P14" s="23" t="s">
        <v>40</v>
      </c>
      <c r="Q14" s="71" t="s">
        <v>43</v>
      </c>
      <c r="R14" s="21" t="s">
        <v>29</v>
      </c>
      <c r="S14" s="21" t="s">
        <v>21</v>
      </c>
      <c r="T14" s="22" t="s">
        <v>13</v>
      </c>
      <c r="U14" s="22" t="s">
        <v>39</v>
      </c>
      <c r="V14" s="23" t="s">
        <v>40</v>
      </c>
      <c r="W14" s="71" t="s">
        <v>43</v>
      </c>
      <c r="X14" s="21" t="s">
        <v>29</v>
      </c>
      <c r="Y14" s="21" t="s">
        <v>21</v>
      </c>
      <c r="Z14" s="22" t="s">
        <v>13</v>
      </c>
      <c r="AA14" s="22" t="s">
        <v>39</v>
      </c>
      <c r="AB14" s="23" t="s">
        <v>40</v>
      </c>
      <c r="AC14" s="71" t="s">
        <v>43</v>
      </c>
      <c r="AD14" s="21" t="s">
        <v>29</v>
      </c>
      <c r="AE14" s="21" t="s">
        <v>21</v>
      </c>
      <c r="AF14" s="22" t="s">
        <v>13</v>
      </c>
      <c r="AG14" s="22" t="s">
        <v>39</v>
      </c>
      <c r="AH14" s="23" t="s">
        <v>40</v>
      </c>
      <c r="AI14" s="71" t="s">
        <v>43</v>
      </c>
      <c r="AJ14" s="21" t="s">
        <v>29</v>
      </c>
      <c r="AK14" s="21" t="s">
        <v>21</v>
      </c>
      <c r="AL14" s="22" t="s">
        <v>13</v>
      </c>
      <c r="AM14" s="22" t="s">
        <v>39</v>
      </c>
      <c r="AN14" s="23" t="s">
        <v>22</v>
      </c>
      <c r="AO14" s="71" t="s">
        <v>43</v>
      </c>
      <c r="AP14" s="82" t="s">
        <v>29</v>
      </c>
      <c r="AQ14" s="83" t="s">
        <v>21</v>
      </c>
      <c r="AR14" s="84" t="s">
        <v>13</v>
      </c>
      <c r="AS14" s="84" t="s">
        <v>39</v>
      </c>
      <c r="AT14" s="85" t="s">
        <v>22</v>
      </c>
      <c r="AU14" s="85" t="s">
        <v>43</v>
      </c>
    </row>
    <row r="15" spans="2:53" x14ac:dyDescent="0.45">
      <c r="B15" s="153"/>
      <c r="C15" s="97"/>
      <c r="D15" s="24"/>
      <c r="E15" s="24" t="s">
        <v>14</v>
      </c>
      <c r="F15" s="22" t="s">
        <v>14</v>
      </c>
      <c r="G15" s="23" t="s">
        <v>23</v>
      </c>
      <c r="H15" s="24"/>
      <c r="I15" s="24" t="s">
        <v>14</v>
      </c>
      <c r="J15" s="22" t="s">
        <v>14</v>
      </c>
      <c r="K15" s="23" t="s">
        <v>23</v>
      </c>
      <c r="L15" s="24" t="s">
        <v>7</v>
      </c>
      <c r="M15" s="24" t="s">
        <v>14</v>
      </c>
      <c r="N15" s="22" t="s">
        <v>14</v>
      </c>
      <c r="O15" s="22"/>
      <c r="P15" s="23" t="s">
        <v>23</v>
      </c>
      <c r="Q15" s="72" t="s">
        <v>44</v>
      </c>
      <c r="R15" s="24"/>
      <c r="S15" s="24" t="s">
        <v>14</v>
      </c>
      <c r="T15" s="22" t="s">
        <v>14</v>
      </c>
      <c r="U15" s="22"/>
      <c r="V15" s="23" t="s">
        <v>23</v>
      </c>
      <c r="W15" s="72" t="s">
        <v>44</v>
      </c>
      <c r="X15" s="24" t="s">
        <v>7</v>
      </c>
      <c r="Y15" s="24" t="s">
        <v>14</v>
      </c>
      <c r="Z15" s="22" t="s">
        <v>14</v>
      </c>
      <c r="AA15" s="22"/>
      <c r="AB15" s="23" t="s">
        <v>23</v>
      </c>
      <c r="AC15" s="72" t="s">
        <v>44</v>
      </c>
      <c r="AD15" s="24"/>
      <c r="AE15" s="24" t="s">
        <v>14</v>
      </c>
      <c r="AF15" s="22" t="s">
        <v>14</v>
      </c>
      <c r="AG15" s="22"/>
      <c r="AH15" s="23" t="s">
        <v>23</v>
      </c>
      <c r="AI15" s="72" t="s">
        <v>44</v>
      </c>
      <c r="AJ15" s="24" t="s">
        <v>7</v>
      </c>
      <c r="AK15" s="24" t="s">
        <v>14</v>
      </c>
      <c r="AL15" s="22" t="s">
        <v>14</v>
      </c>
      <c r="AM15" s="22"/>
      <c r="AN15" s="23" t="s">
        <v>23</v>
      </c>
      <c r="AO15" s="72" t="s">
        <v>44</v>
      </c>
      <c r="AP15" s="76" t="s">
        <v>7</v>
      </c>
      <c r="AQ15" s="24" t="s">
        <v>14</v>
      </c>
      <c r="AR15" s="22" t="s">
        <v>14</v>
      </c>
      <c r="AS15" s="22"/>
      <c r="AT15" s="23" t="s">
        <v>23</v>
      </c>
      <c r="AU15" s="23" t="s">
        <v>44</v>
      </c>
      <c r="AZ15" s="25"/>
      <c r="BA15" s="26"/>
    </row>
    <row r="16" spans="2:53" x14ac:dyDescent="0.45">
      <c r="B16" s="11" t="s">
        <v>37</v>
      </c>
      <c r="C16" s="27" t="s">
        <v>4</v>
      </c>
      <c r="D16" s="50"/>
      <c r="E16" s="57"/>
      <c r="F16" s="29"/>
      <c r="G16" s="30">
        <v>0</v>
      </c>
      <c r="H16" s="50"/>
      <c r="I16" s="57"/>
      <c r="J16" s="29">
        <f>I16</f>
        <v>0</v>
      </c>
      <c r="K16" s="30" t="e">
        <f t="shared" ref="K16:K21" si="0">J16/$J$27</f>
        <v>#DIV/0!</v>
      </c>
      <c r="L16" s="28"/>
      <c r="M16" s="28"/>
      <c r="N16" s="31">
        <f>J16</f>
        <v>0</v>
      </c>
      <c r="O16" s="29"/>
      <c r="P16" s="30" t="e">
        <f t="shared" ref="P16:P21" si="1">N16/N$27</f>
        <v>#DIV/0!</v>
      </c>
      <c r="Q16" s="73" t="e">
        <f t="shared" ref="Q16:Q22" si="2">(N16+O16)/(N$27+O$27)</f>
        <v>#DIV/0!</v>
      </c>
      <c r="R16" s="50"/>
      <c r="S16" s="57"/>
      <c r="T16" s="29">
        <f>S16+N16</f>
        <v>0</v>
      </c>
      <c r="U16" s="29"/>
      <c r="V16" s="30" t="e">
        <f>T16/$T$27</f>
        <v>#DIV/0!</v>
      </c>
      <c r="W16" s="73" t="e">
        <f>(T16+U16)/(T$27+U$27)</f>
        <v>#DIV/0!</v>
      </c>
      <c r="X16" s="28"/>
      <c r="Y16" s="28"/>
      <c r="Z16" s="29">
        <f>T16+Y16</f>
        <v>0</v>
      </c>
      <c r="AA16" s="29"/>
      <c r="AB16" s="30" t="e">
        <f>Z16/Z$27</f>
        <v>#DIV/0!</v>
      </c>
      <c r="AC16" s="73" t="e">
        <f>(Z16+AA16)/(Z$27+AA$27)</f>
        <v>#DIV/0!</v>
      </c>
      <c r="AD16" s="50"/>
      <c r="AE16" s="57">
        <v>0</v>
      </c>
      <c r="AF16" s="29">
        <f t="shared" ref="AF16:AF21" si="3">AE16+Z16</f>
        <v>0</v>
      </c>
      <c r="AG16" s="29"/>
      <c r="AH16" s="30" t="e">
        <f>AF16/$AF$27</f>
        <v>#DIV/0!</v>
      </c>
      <c r="AI16" s="73" t="e">
        <f>(AF16+AG16)/(AF$27+AG$27)</f>
        <v>#DIV/0!</v>
      </c>
      <c r="AJ16" s="28"/>
      <c r="AK16" s="28"/>
      <c r="AL16" s="29">
        <f>Z16</f>
        <v>0</v>
      </c>
      <c r="AM16" s="29"/>
      <c r="AN16" s="30" t="e">
        <f>AL16/AL$27</f>
        <v>#DIV/0!</v>
      </c>
      <c r="AO16" s="73" t="e">
        <f>(AL16+AM16)/(AL$27+AM$27)</f>
        <v>#DIV/0!</v>
      </c>
      <c r="AP16" s="77"/>
      <c r="AQ16" s="28"/>
      <c r="AR16" s="29">
        <f>AL16</f>
        <v>0</v>
      </c>
      <c r="AS16" s="29"/>
      <c r="AT16" s="30" t="e">
        <f>AR16/AR$27</f>
        <v>#DIV/0!</v>
      </c>
      <c r="AU16" s="30" t="e">
        <f>(AR16+AS16)/(AR$27+AS$27)</f>
        <v>#DIV/0!</v>
      </c>
      <c r="AZ16" s="32"/>
      <c r="BA16" s="32"/>
    </row>
    <row r="17" spans="1:53" x14ac:dyDescent="0.45">
      <c r="B17" s="33"/>
      <c r="C17" s="34" t="s">
        <v>50</v>
      </c>
      <c r="D17" s="51"/>
      <c r="E17" s="57"/>
      <c r="F17" s="29"/>
      <c r="G17" s="30">
        <v>0</v>
      </c>
      <c r="H17" s="51"/>
      <c r="I17" s="57"/>
      <c r="J17" s="29"/>
      <c r="K17" s="30" t="e">
        <f t="shared" si="0"/>
        <v>#DIV/0!</v>
      </c>
      <c r="L17" s="35"/>
      <c r="M17" s="35"/>
      <c r="N17" s="31">
        <v>0</v>
      </c>
      <c r="O17" s="36"/>
      <c r="P17" s="30" t="e">
        <f t="shared" si="1"/>
        <v>#DIV/0!</v>
      </c>
      <c r="Q17" s="73" t="e">
        <f t="shared" si="2"/>
        <v>#DIV/0!</v>
      </c>
      <c r="R17" s="51"/>
      <c r="S17" s="57"/>
      <c r="T17" s="29">
        <f>S17+N17</f>
        <v>0</v>
      </c>
      <c r="U17" s="29"/>
      <c r="V17" s="30" t="e">
        <f>T17/$T$27</f>
        <v>#DIV/0!</v>
      </c>
      <c r="W17" s="73" t="e">
        <f>(T17+U17)/(T$27+U$27)</f>
        <v>#DIV/0!</v>
      </c>
      <c r="X17" s="35"/>
      <c r="Y17" s="35"/>
      <c r="Z17" s="29">
        <f>T17+Y17</f>
        <v>0</v>
      </c>
      <c r="AA17" s="36"/>
      <c r="AB17" s="30" t="e">
        <f>Z17/Z$27</f>
        <v>#DIV/0!</v>
      </c>
      <c r="AC17" s="73" t="e">
        <f>(Z17+AA17)/(Z$27+AA$27)</f>
        <v>#DIV/0!</v>
      </c>
      <c r="AD17" s="51"/>
      <c r="AE17" s="57"/>
      <c r="AF17" s="29">
        <f t="shared" si="3"/>
        <v>0</v>
      </c>
      <c r="AG17" s="29"/>
      <c r="AH17" s="30" t="e">
        <f>AF17/$AF$27</f>
        <v>#DIV/0!</v>
      </c>
      <c r="AI17" s="73" t="e">
        <f>(AF17+AG17)/(AF$27+AG$27)</f>
        <v>#DIV/0!</v>
      </c>
      <c r="AJ17" s="35"/>
      <c r="AK17" s="35"/>
      <c r="AL17" s="29"/>
      <c r="AM17" s="36"/>
      <c r="AN17" s="37"/>
      <c r="AO17" s="73"/>
      <c r="AP17" s="78"/>
      <c r="AQ17" s="35"/>
      <c r="AR17" s="29"/>
      <c r="AS17" s="36"/>
      <c r="AT17" s="37"/>
      <c r="AU17" s="30"/>
      <c r="AZ17" s="32"/>
      <c r="BA17" s="32"/>
    </row>
    <row r="18" spans="1:53" x14ac:dyDescent="0.45">
      <c r="B18" s="33"/>
      <c r="C18" s="34" t="s">
        <v>51</v>
      </c>
      <c r="D18" s="51"/>
      <c r="E18" s="57"/>
      <c r="F18" s="29"/>
      <c r="G18" s="30">
        <v>0</v>
      </c>
      <c r="H18" s="51"/>
      <c r="I18" s="57"/>
      <c r="J18" s="29"/>
      <c r="K18" s="30" t="e">
        <f t="shared" si="0"/>
        <v>#DIV/0!</v>
      </c>
      <c r="L18" s="35"/>
      <c r="M18" s="35"/>
      <c r="N18" s="31">
        <f>F18</f>
        <v>0</v>
      </c>
      <c r="O18" s="36"/>
      <c r="P18" s="37" t="e">
        <f t="shared" si="1"/>
        <v>#DIV/0!</v>
      </c>
      <c r="Q18" s="73" t="e">
        <f t="shared" si="2"/>
        <v>#DIV/0!</v>
      </c>
      <c r="R18" s="51"/>
      <c r="S18" s="57"/>
      <c r="T18" s="29">
        <f>S18+N18</f>
        <v>0</v>
      </c>
      <c r="U18" s="29"/>
      <c r="V18" s="30" t="e">
        <f>T18/$T$27</f>
        <v>#DIV/0!</v>
      </c>
      <c r="W18" s="73" t="e">
        <f t="shared" ref="W18:W23" si="4">(T18+U18)/(T$27+U$27)</f>
        <v>#DIV/0!</v>
      </c>
      <c r="X18" s="35"/>
      <c r="Y18" s="35"/>
      <c r="Z18" s="29">
        <f>T18+Y18</f>
        <v>0</v>
      </c>
      <c r="AA18" s="36"/>
      <c r="AB18" s="37" t="e">
        <f>Z18/Z$27</f>
        <v>#DIV/0!</v>
      </c>
      <c r="AC18" s="73" t="e">
        <f t="shared" ref="AC18:AC23" si="5">(Z18+AA18)/(Z$27+AA$27)</f>
        <v>#DIV/0!</v>
      </c>
      <c r="AD18" s="51"/>
      <c r="AE18" s="57"/>
      <c r="AF18" s="29">
        <f t="shared" si="3"/>
        <v>0</v>
      </c>
      <c r="AG18" s="29"/>
      <c r="AH18" s="30" t="e">
        <f t="shared" ref="AH18:AH21" si="6">AF18/$AF$27</f>
        <v>#DIV/0!</v>
      </c>
      <c r="AI18" s="73" t="e">
        <f t="shared" ref="AI18:AI23" si="7">(AF18+AG18)/(AF$27+AG$27)</f>
        <v>#DIV/0!</v>
      </c>
      <c r="AJ18" s="35"/>
      <c r="AK18" s="35"/>
      <c r="AL18" s="29">
        <f>Z18</f>
        <v>0</v>
      </c>
      <c r="AM18" s="36"/>
      <c r="AN18" s="37" t="e">
        <f>AL18/AL$27</f>
        <v>#DIV/0!</v>
      </c>
      <c r="AO18" s="73" t="e">
        <f t="shared" ref="AO18:AO25" si="8">(AL18+AM18)/(AL$27+AM$27)</f>
        <v>#DIV/0!</v>
      </c>
      <c r="AP18" s="78"/>
      <c r="AQ18" s="35"/>
      <c r="AR18" s="29">
        <f>AL18</f>
        <v>0</v>
      </c>
      <c r="AS18" s="36"/>
      <c r="AT18" s="37" t="e">
        <f>AR18/AR$27</f>
        <v>#DIV/0!</v>
      </c>
      <c r="AU18" s="30" t="e">
        <f t="shared" ref="AU18:AU25" si="9">(AR18+AS18)/(AR$27+AS$27)</f>
        <v>#DIV/0!</v>
      </c>
      <c r="AZ18" s="38"/>
      <c r="BA18" s="32"/>
    </row>
    <row r="19" spans="1:53" x14ac:dyDescent="0.45">
      <c r="B19" s="33"/>
      <c r="C19" s="34" t="s">
        <v>52</v>
      </c>
      <c r="D19" s="51"/>
      <c r="E19" s="57"/>
      <c r="F19" s="29"/>
      <c r="G19" s="30">
        <v>0</v>
      </c>
      <c r="H19" s="51"/>
      <c r="I19" s="57"/>
      <c r="J19" s="29"/>
      <c r="K19" s="30" t="e">
        <f t="shared" si="0"/>
        <v>#DIV/0!</v>
      </c>
      <c r="L19" s="35"/>
      <c r="M19" s="35"/>
      <c r="N19" s="31">
        <f>F19</f>
        <v>0</v>
      </c>
      <c r="O19" s="36"/>
      <c r="P19" s="37" t="e">
        <f t="shared" si="1"/>
        <v>#DIV/0!</v>
      </c>
      <c r="Q19" s="73" t="e">
        <f t="shared" si="2"/>
        <v>#DIV/0!</v>
      </c>
      <c r="R19" s="51"/>
      <c r="S19" s="57"/>
      <c r="T19" s="29">
        <f>S19+N19</f>
        <v>0</v>
      </c>
      <c r="U19" s="29"/>
      <c r="V19" s="30" t="e">
        <f>T19/$T$27</f>
        <v>#DIV/0!</v>
      </c>
      <c r="W19" s="73" t="e">
        <f t="shared" si="4"/>
        <v>#DIV/0!</v>
      </c>
      <c r="X19" s="35"/>
      <c r="Y19" s="35"/>
      <c r="Z19" s="29">
        <f>T19+Y19</f>
        <v>0</v>
      </c>
      <c r="AA19" s="36"/>
      <c r="AB19" s="37" t="e">
        <f>Z19/Z$27</f>
        <v>#DIV/0!</v>
      </c>
      <c r="AC19" s="73" t="e">
        <f t="shared" si="5"/>
        <v>#DIV/0!</v>
      </c>
      <c r="AD19" s="51"/>
      <c r="AE19" s="57"/>
      <c r="AF19" s="29">
        <f t="shared" si="3"/>
        <v>0</v>
      </c>
      <c r="AG19" s="29"/>
      <c r="AH19" s="30" t="e">
        <f t="shared" si="6"/>
        <v>#DIV/0!</v>
      </c>
      <c r="AI19" s="73" t="e">
        <f t="shared" si="7"/>
        <v>#DIV/0!</v>
      </c>
      <c r="AJ19" s="35"/>
      <c r="AK19" s="35"/>
      <c r="AL19" s="29">
        <f>Z19</f>
        <v>0</v>
      </c>
      <c r="AM19" s="36"/>
      <c r="AN19" s="37" t="e">
        <f>AL19/AL$27</f>
        <v>#DIV/0!</v>
      </c>
      <c r="AO19" s="73" t="e">
        <f t="shared" si="8"/>
        <v>#DIV/0!</v>
      </c>
      <c r="AP19" s="78"/>
      <c r="AQ19" s="35"/>
      <c r="AR19" s="29">
        <f>AL19</f>
        <v>0</v>
      </c>
      <c r="AS19" s="36"/>
      <c r="AT19" s="37" t="e">
        <f>AR19/AR$27</f>
        <v>#DIV/0!</v>
      </c>
      <c r="AU19" s="30" t="e">
        <f t="shared" si="9"/>
        <v>#DIV/0!</v>
      </c>
      <c r="AZ19" s="32"/>
      <c r="BA19" s="32"/>
    </row>
    <row r="20" spans="1:53" x14ac:dyDescent="0.45">
      <c r="B20" s="33"/>
      <c r="C20" s="34" t="s">
        <v>48</v>
      </c>
      <c r="D20" s="51"/>
      <c r="E20" s="57"/>
      <c r="F20" s="29"/>
      <c r="G20" s="30">
        <v>0</v>
      </c>
      <c r="H20" s="51"/>
      <c r="I20" s="57"/>
      <c r="J20" s="29"/>
      <c r="K20" s="30" t="e">
        <f t="shared" si="0"/>
        <v>#DIV/0!</v>
      </c>
      <c r="L20" s="35"/>
      <c r="M20" s="35"/>
      <c r="N20" s="31">
        <f>F20</f>
        <v>0</v>
      </c>
      <c r="O20" s="36"/>
      <c r="P20" s="37" t="e">
        <f t="shared" si="1"/>
        <v>#DIV/0!</v>
      </c>
      <c r="Q20" s="73" t="e">
        <f t="shared" si="2"/>
        <v>#DIV/0!</v>
      </c>
      <c r="R20" s="51"/>
      <c r="S20" s="57"/>
      <c r="T20" s="29">
        <v>0</v>
      </c>
      <c r="U20" s="29"/>
      <c r="V20" s="30">
        <v>0</v>
      </c>
      <c r="W20" s="73" t="e">
        <f t="shared" si="4"/>
        <v>#DIV/0!</v>
      </c>
      <c r="X20" s="35"/>
      <c r="Y20" s="35"/>
      <c r="Z20" s="29">
        <v>0</v>
      </c>
      <c r="AA20" s="36"/>
      <c r="AB20" s="37">
        <v>0</v>
      </c>
      <c r="AC20" s="73" t="e">
        <f t="shared" si="5"/>
        <v>#DIV/0!</v>
      </c>
      <c r="AD20" s="51"/>
      <c r="AE20" s="57"/>
      <c r="AF20" s="29">
        <f t="shared" si="3"/>
        <v>0</v>
      </c>
      <c r="AG20" s="29"/>
      <c r="AH20" s="30" t="e">
        <f t="shared" si="6"/>
        <v>#DIV/0!</v>
      </c>
      <c r="AI20" s="73" t="e">
        <f t="shared" si="7"/>
        <v>#DIV/0!</v>
      </c>
      <c r="AJ20" s="35"/>
      <c r="AK20" s="35"/>
      <c r="AL20" s="29">
        <f>AF20</f>
        <v>0</v>
      </c>
      <c r="AM20" s="36"/>
      <c r="AN20" s="37" t="e">
        <f>AL20/AL$27</f>
        <v>#DIV/0!</v>
      </c>
      <c r="AO20" s="73" t="e">
        <f t="shared" si="8"/>
        <v>#DIV/0!</v>
      </c>
      <c r="AP20" s="78"/>
      <c r="AQ20" s="35"/>
      <c r="AR20" s="29">
        <f>AL20</f>
        <v>0</v>
      </c>
      <c r="AS20" s="36"/>
      <c r="AT20" s="37" t="e">
        <f>AR20/AR$27</f>
        <v>#DIV/0!</v>
      </c>
      <c r="AU20" s="30" t="e">
        <f t="shared" si="9"/>
        <v>#DIV/0!</v>
      </c>
      <c r="AZ20" s="32"/>
      <c r="BA20" s="32"/>
    </row>
    <row r="21" spans="1:53" x14ac:dyDescent="0.45">
      <c r="B21" s="140" t="s">
        <v>54</v>
      </c>
      <c r="C21" s="141"/>
      <c r="D21" s="52"/>
      <c r="E21" s="57"/>
      <c r="F21" s="41">
        <f>E21</f>
        <v>0</v>
      </c>
      <c r="G21" s="30">
        <v>1</v>
      </c>
      <c r="H21" s="52"/>
      <c r="I21" s="57">
        <f>-I16</f>
        <v>0</v>
      </c>
      <c r="J21" s="41">
        <f>F21+I21</f>
        <v>0</v>
      </c>
      <c r="K21" s="30" t="e">
        <f t="shared" si="0"/>
        <v>#DIV/0!</v>
      </c>
      <c r="L21" s="55">
        <f>M34*10*10000</f>
        <v>0</v>
      </c>
      <c r="M21" s="40" t="e">
        <f>L21/M7*1000</f>
        <v>#DIV/0!</v>
      </c>
      <c r="N21" s="41">
        <f>J21</f>
        <v>0</v>
      </c>
      <c r="O21" s="41" t="e">
        <f>M21</f>
        <v>#DIV/0!</v>
      </c>
      <c r="P21" s="39" t="e">
        <f t="shared" si="1"/>
        <v>#DIV/0!</v>
      </c>
      <c r="Q21" s="73" t="e">
        <f t="shared" si="2"/>
        <v>#DIV/0!</v>
      </c>
      <c r="R21" s="52"/>
      <c r="S21" s="57">
        <f>-SUM(S16:S20)</f>
        <v>0</v>
      </c>
      <c r="T21" s="29">
        <f>S21+N21</f>
        <v>0</v>
      </c>
      <c r="U21" s="29" t="e">
        <f>O21</f>
        <v>#DIV/0!</v>
      </c>
      <c r="V21" s="30" t="e">
        <f>T21/$T$27</f>
        <v>#DIV/0!</v>
      </c>
      <c r="W21" s="73" t="e">
        <f t="shared" si="4"/>
        <v>#DIV/0!</v>
      </c>
      <c r="X21" s="40">
        <f>Y35*100*1000</f>
        <v>0</v>
      </c>
      <c r="Y21" s="40" t="e">
        <f>X21/Y$7*1000</f>
        <v>#DIV/0!</v>
      </c>
      <c r="Z21" s="29" t="e">
        <f>T21+Y21+U21</f>
        <v>#DIV/0!</v>
      </c>
      <c r="AA21" s="36"/>
      <c r="AB21" s="39" t="e">
        <f>Z21/Z$27</f>
        <v>#DIV/0!</v>
      </c>
      <c r="AC21" s="73" t="e">
        <f t="shared" si="5"/>
        <v>#DIV/0!</v>
      </c>
      <c r="AD21" s="52"/>
      <c r="AE21" s="57"/>
      <c r="AF21" s="29" t="e">
        <f t="shared" si="3"/>
        <v>#DIV/0!</v>
      </c>
      <c r="AG21" s="29">
        <f>AA21</f>
        <v>0</v>
      </c>
      <c r="AH21" s="30" t="e">
        <f t="shared" si="6"/>
        <v>#DIV/0!</v>
      </c>
      <c r="AI21" s="73" t="e">
        <f t="shared" si="7"/>
        <v>#DIV/0!</v>
      </c>
      <c r="AJ21" s="40"/>
      <c r="AK21" s="40" t="e">
        <f>AJ21/AK$7*1000</f>
        <v>#DIV/0!</v>
      </c>
      <c r="AL21" s="41" t="e">
        <f>AK21+Z21</f>
        <v>#DIV/0!</v>
      </c>
      <c r="AM21" s="36"/>
      <c r="AN21" s="39" t="e">
        <f>AL21/AL$27</f>
        <v>#DIV/0!</v>
      </c>
      <c r="AO21" s="73" t="e">
        <f t="shared" si="8"/>
        <v>#DIV/0!</v>
      </c>
      <c r="AP21" s="79">
        <f>AQ35*100*1000</f>
        <v>0</v>
      </c>
      <c r="AQ21" s="40" t="e">
        <f>AP21/AQ$7*1000</f>
        <v>#DIV/0!</v>
      </c>
      <c r="AR21" s="41" t="e">
        <f>AL21+AQ21</f>
        <v>#DIV/0!</v>
      </c>
      <c r="AS21" s="36"/>
      <c r="AT21" s="39" t="e">
        <f>AR21/AR$27</f>
        <v>#DIV/0!</v>
      </c>
      <c r="AU21" s="30" t="e">
        <f t="shared" si="9"/>
        <v>#DIV/0!</v>
      </c>
      <c r="AZ21" s="32"/>
    </row>
    <row r="22" spans="1:53" s="69" customFormat="1" x14ac:dyDescent="0.45">
      <c r="A22"/>
      <c r="B22" s="154" t="s">
        <v>38</v>
      </c>
      <c r="C22" s="155"/>
      <c r="D22" s="63"/>
      <c r="E22" s="64"/>
      <c r="F22" s="64"/>
      <c r="G22" s="65" t="e">
        <f>F22/F27</f>
        <v>#DIV/0!</v>
      </c>
      <c r="H22" s="63"/>
      <c r="I22" s="64"/>
      <c r="J22" s="64">
        <f>F22+I21</f>
        <v>0</v>
      </c>
      <c r="K22" s="65" t="e">
        <f>J22/J27</f>
        <v>#DIV/0!</v>
      </c>
      <c r="L22" s="66"/>
      <c r="M22" s="64"/>
      <c r="N22" s="64">
        <f>J22</f>
        <v>0</v>
      </c>
      <c r="O22" s="64"/>
      <c r="P22" s="65" t="e">
        <f>N22/N27</f>
        <v>#DIV/0!</v>
      </c>
      <c r="Q22" s="86" t="e">
        <f t="shared" si="2"/>
        <v>#DIV/0!</v>
      </c>
      <c r="R22" s="63"/>
      <c r="S22" s="64"/>
      <c r="T22" s="64">
        <v>0</v>
      </c>
      <c r="U22" s="64"/>
      <c r="V22" s="65" t="e">
        <f>T22/T27</f>
        <v>#DIV/0!</v>
      </c>
      <c r="W22" s="86" t="e">
        <f t="shared" si="4"/>
        <v>#DIV/0!</v>
      </c>
      <c r="X22" s="67"/>
      <c r="Y22" s="64"/>
      <c r="Z22" s="64">
        <v>0</v>
      </c>
      <c r="AA22" s="64"/>
      <c r="AB22" s="65" t="e">
        <f>Z22/Z27</f>
        <v>#DIV/0!</v>
      </c>
      <c r="AC22" s="86" t="e">
        <f t="shared" si="5"/>
        <v>#DIV/0!</v>
      </c>
      <c r="AD22" s="63"/>
      <c r="AE22" s="64"/>
      <c r="AF22" s="64">
        <v>0</v>
      </c>
      <c r="AG22" s="64"/>
      <c r="AH22" s="65" t="e">
        <f>AF22/AF27</f>
        <v>#DIV/0!</v>
      </c>
      <c r="AI22" s="86" t="e">
        <f t="shared" si="7"/>
        <v>#DIV/0!</v>
      </c>
      <c r="AJ22" s="67"/>
      <c r="AK22" s="64"/>
      <c r="AL22" s="64">
        <v>0</v>
      </c>
      <c r="AM22" s="64"/>
      <c r="AN22" s="65" t="e">
        <f>AL22/AL27</f>
        <v>#DIV/0!</v>
      </c>
      <c r="AO22" s="86" t="e">
        <f t="shared" si="8"/>
        <v>#DIV/0!</v>
      </c>
      <c r="AP22" s="80"/>
      <c r="AQ22" s="67"/>
      <c r="AR22" s="64"/>
      <c r="AS22" s="64"/>
      <c r="AT22" s="65">
        <v>0</v>
      </c>
      <c r="AU22" s="87" t="e">
        <f t="shared" si="9"/>
        <v>#DIV/0!</v>
      </c>
      <c r="AV22"/>
      <c r="AW22"/>
      <c r="AX22"/>
      <c r="AY22"/>
      <c r="AZ22" s="68"/>
    </row>
    <row r="23" spans="1:53" x14ac:dyDescent="0.45">
      <c r="B23" s="140" t="s">
        <v>54</v>
      </c>
      <c r="C23" s="141"/>
      <c r="D23" s="58"/>
      <c r="E23" s="16"/>
      <c r="F23" s="15"/>
      <c r="G23" s="39"/>
      <c r="H23" s="58"/>
      <c r="I23" s="16"/>
      <c r="J23" s="15"/>
      <c r="K23" s="39"/>
      <c r="L23" s="55"/>
      <c r="M23" s="40"/>
      <c r="N23" s="41"/>
      <c r="O23" s="41"/>
      <c r="P23" s="39"/>
      <c r="Q23" s="73"/>
      <c r="R23" s="52"/>
      <c r="S23" s="36"/>
      <c r="T23" s="36"/>
      <c r="U23" s="36">
        <f>S23</f>
        <v>0</v>
      </c>
      <c r="V23" s="37" t="e">
        <f>T23/$T$27</f>
        <v>#DIV/0!</v>
      </c>
      <c r="W23" s="73" t="e">
        <f t="shared" si="4"/>
        <v>#DIV/0!</v>
      </c>
      <c r="X23" s="40"/>
      <c r="Y23" s="40"/>
      <c r="Z23" s="29">
        <f>T23+Y23</f>
        <v>0</v>
      </c>
      <c r="AA23" s="36">
        <f>U23</f>
        <v>0</v>
      </c>
      <c r="AB23" s="39" t="e">
        <f>Z23/Z$27</f>
        <v>#DIV/0!</v>
      </c>
      <c r="AC23" s="73" t="e">
        <f t="shared" si="5"/>
        <v>#DIV/0!</v>
      </c>
      <c r="AD23" s="52"/>
      <c r="AE23" s="60"/>
      <c r="AF23" s="36">
        <v>0</v>
      </c>
      <c r="AG23" s="36">
        <f>AA23</f>
        <v>0</v>
      </c>
      <c r="AH23" s="37" t="e">
        <f>AF23/$T$27</f>
        <v>#DIV/0!</v>
      </c>
      <c r="AI23" s="73" t="e">
        <f t="shared" si="7"/>
        <v>#DIV/0!</v>
      </c>
      <c r="AJ23" s="40"/>
      <c r="AK23" s="40"/>
      <c r="AL23" s="41">
        <f>AK23+Z23</f>
        <v>0</v>
      </c>
      <c r="AM23" s="36">
        <f>AA23</f>
        <v>0</v>
      </c>
      <c r="AN23" s="39" t="e">
        <f>AL23/AL$27</f>
        <v>#DIV/0!</v>
      </c>
      <c r="AO23" s="73" t="e">
        <f t="shared" si="8"/>
        <v>#DIV/0!</v>
      </c>
      <c r="AP23" s="79"/>
      <c r="AQ23" s="40"/>
      <c r="AR23" s="41">
        <f>AQ23+AL23</f>
        <v>0</v>
      </c>
      <c r="AS23" s="36">
        <f>AM23</f>
        <v>0</v>
      </c>
      <c r="AT23" s="39" t="e">
        <f>AR23/AR$27</f>
        <v>#DIV/0!</v>
      </c>
      <c r="AU23" s="30" t="e">
        <f t="shared" si="9"/>
        <v>#DIV/0!</v>
      </c>
      <c r="AZ23" s="32"/>
    </row>
    <row r="24" spans="1:53" x14ac:dyDescent="0.45">
      <c r="B24" s="140" t="s">
        <v>2</v>
      </c>
      <c r="C24" s="141"/>
      <c r="D24" s="58"/>
      <c r="E24" s="16"/>
      <c r="F24" s="15"/>
      <c r="G24" s="39"/>
      <c r="H24" s="58"/>
      <c r="I24" s="16"/>
      <c r="J24" s="15"/>
      <c r="K24" s="39"/>
      <c r="L24" s="40"/>
      <c r="M24" s="40"/>
      <c r="N24" s="41"/>
      <c r="O24" s="41"/>
      <c r="P24" s="39"/>
      <c r="Q24" s="73"/>
      <c r="R24" s="58"/>
      <c r="S24" s="16"/>
      <c r="T24" s="15"/>
      <c r="U24" s="15"/>
      <c r="V24" s="39"/>
      <c r="W24" s="74"/>
      <c r="X24" s="40"/>
      <c r="Y24" s="40"/>
      <c r="Z24" s="29"/>
      <c r="AA24" s="36"/>
      <c r="AB24" s="39"/>
      <c r="AC24" s="74"/>
      <c r="AD24" s="58"/>
      <c r="AE24" s="16"/>
      <c r="AF24" s="15"/>
      <c r="AG24" s="15"/>
      <c r="AH24" s="39"/>
      <c r="AI24" s="74"/>
      <c r="AJ24" s="40"/>
      <c r="AK24" s="40" t="e">
        <f>AJ24/AK$7*1000</f>
        <v>#DIV/0!</v>
      </c>
      <c r="AL24" s="41" t="e">
        <f>AK24+Z24</f>
        <v>#DIV/0!</v>
      </c>
      <c r="AM24" s="36"/>
      <c r="AN24" s="39" t="e">
        <f>AL24/AL$27</f>
        <v>#DIV/0!</v>
      </c>
      <c r="AO24" s="73" t="e">
        <f t="shared" si="8"/>
        <v>#DIV/0!</v>
      </c>
      <c r="AP24" s="79">
        <f>AQ36*100*1000</f>
        <v>0</v>
      </c>
      <c r="AQ24" s="40" t="e">
        <f>AP24/AQ$7*1000</f>
        <v>#DIV/0!</v>
      </c>
      <c r="AR24" s="41" t="e">
        <f>AQ24+AL24</f>
        <v>#DIV/0!</v>
      </c>
      <c r="AS24" s="36"/>
      <c r="AT24" s="39" t="e">
        <f>AR24/AR$27</f>
        <v>#DIV/0!</v>
      </c>
      <c r="AU24" s="30" t="e">
        <f t="shared" si="9"/>
        <v>#DIV/0!</v>
      </c>
      <c r="AZ24" s="32"/>
    </row>
    <row r="25" spans="1:53" x14ac:dyDescent="0.45">
      <c r="B25" s="140" t="s">
        <v>3</v>
      </c>
      <c r="C25" s="141"/>
      <c r="D25" s="58"/>
      <c r="E25" s="16"/>
      <c r="F25" s="15"/>
      <c r="G25" s="39"/>
      <c r="H25" s="58"/>
      <c r="I25" s="16"/>
      <c r="J25" s="15"/>
      <c r="K25" s="39"/>
      <c r="L25" s="40"/>
      <c r="M25" s="40"/>
      <c r="N25" s="41"/>
      <c r="O25" s="41"/>
      <c r="P25" s="39"/>
      <c r="Q25" s="73"/>
      <c r="R25" s="58"/>
      <c r="S25" s="16"/>
      <c r="T25" s="15"/>
      <c r="U25" s="15"/>
      <c r="V25" s="39"/>
      <c r="W25" s="74"/>
      <c r="X25" s="40"/>
      <c r="Y25" s="40"/>
      <c r="Z25" s="29"/>
      <c r="AA25" s="36"/>
      <c r="AB25" s="39"/>
      <c r="AC25" s="74"/>
      <c r="AD25" s="58"/>
      <c r="AE25" s="16"/>
      <c r="AF25" s="15"/>
      <c r="AG25" s="15"/>
      <c r="AH25" s="39"/>
      <c r="AI25" s="74"/>
      <c r="AJ25" s="40"/>
      <c r="AK25" s="40" t="e">
        <f>AJ25/AK$7*1000</f>
        <v>#DIV/0!</v>
      </c>
      <c r="AL25" s="41" t="e">
        <f>AK25+Z25</f>
        <v>#DIV/0!</v>
      </c>
      <c r="AM25" s="36"/>
      <c r="AN25" s="39" t="e">
        <f>AL25/AL$27</f>
        <v>#DIV/0!</v>
      </c>
      <c r="AO25" s="73" t="e">
        <f t="shared" si="8"/>
        <v>#DIV/0!</v>
      </c>
      <c r="AP25" s="79">
        <f>AQ37*100*1000</f>
        <v>0</v>
      </c>
      <c r="AQ25" s="40" t="e">
        <f>AP25/AQ$7*1000</f>
        <v>#DIV/0!</v>
      </c>
      <c r="AR25" s="41" t="e">
        <f>AQ25+AL25</f>
        <v>#DIV/0!</v>
      </c>
      <c r="AS25" s="36"/>
      <c r="AT25" s="39" t="e">
        <f>AR25/AR$27</f>
        <v>#DIV/0!</v>
      </c>
      <c r="AU25" s="30" t="e">
        <f t="shared" si="9"/>
        <v>#DIV/0!</v>
      </c>
      <c r="AZ25" s="32"/>
    </row>
    <row r="26" spans="1:53" ht="18.600000000000001" thickBot="1" x14ac:dyDescent="0.5">
      <c r="B26" s="142" t="s">
        <v>27</v>
      </c>
      <c r="C26" s="143"/>
      <c r="D26" s="59"/>
      <c r="E26" s="20"/>
      <c r="F26" s="19"/>
      <c r="G26" s="44"/>
      <c r="H26" s="59"/>
      <c r="I26" s="20"/>
      <c r="J26" s="19"/>
      <c r="K26" s="44"/>
      <c r="L26" s="42"/>
      <c r="M26" s="42"/>
      <c r="N26" s="43"/>
      <c r="O26" s="43"/>
      <c r="P26" s="44"/>
      <c r="Q26" s="73"/>
      <c r="R26" s="59"/>
      <c r="S26" s="20"/>
      <c r="T26" s="19"/>
      <c r="U26" s="19"/>
      <c r="V26" s="44"/>
      <c r="W26" s="75"/>
      <c r="X26" s="42"/>
      <c r="Y26" s="42"/>
      <c r="Z26" s="43"/>
      <c r="AA26" s="43"/>
      <c r="AB26" s="44"/>
      <c r="AC26" s="75"/>
      <c r="AD26" s="59"/>
      <c r="AE26" s="20"/>
      <c r="AF26" s="19"/>
      <c r="AG26" s="19"/>
      <c r="AH26" s="44"/>
      <c r="AI26" s="75"/>
      <c r="AJ26" s="42"/>
      <c r="AK26" s="42"/>
      <c r="AL26" s="43"/>
      <c r="AM26" s="43"/>
      <c r="AN26" s="44"/>
      <c r="AO26" s="75"/>
      <c r="AP26" s="81"/>
      <c r="AQ26" s="42"/>
      <c r="AR26" s="43"/>
      <c r="AS26" s="43"/>
      <c r="AT26" s="44" t="e">
        <f>AR26/AR$27</f>
        <v>#DIV/0!</v>
      </c>
      <c r="AU26" s="44"/>
    </row>
    <row r="27" spans="1:53" ht="18.600000000000001" thickTop="1" x14ac:dyDescent="0.45">
      <c r="B27" s="144" t="s">
        <v>24</v>
      </c>
      <c r="C27" s="145"/>
      <c r="D27" s="45">
        <f t="shared" ref="D27:AT27" si="10">SUM(D16:D21)+SUM(D23:D26)</f>
        <v>0</v>
      </c>
      <c r="E27" s="45">
        <f t="shared" si="10"/>
        <v>0</v>
      </c>
      <c r="F27" s="45">
        <f t="shared" si="10"/>
        <v>0</v>
      </c>
      <c r="G27" s="62">
        <f t="shared" si="10"/>
        <v>1</v>
      </c>
      <c r="H27" s="45">
        <f t="shared" si="10"/>
        <v>0</v>
      </c>
      <c r="I27" s="45">
        <f t="shared" si="10"/>
        <v>0</v>
      </c>
      <c r="J27" s="45">
        <f t="shared" si="10"/>
        <v>0</v>
      </c>
      <c r="K27" s="62" t="e">
        <f t="shared" si="10"/>
        <v>#DIV/0!</v>
      </c>
      <c r="L27" s="45">
        <f t="shared" si="10"/>
        <v>0</v>
      </c>
      <c r="M27" s="45" t="e">
        <f t="shared" si="10"/>
        <v>#DIV/0!</v>
      </c>
      <c r="N27" s="45">
        <f t="shared" si="10"/>
        <v>0</v>
      </c>
      <c r="O27" s="45" t="e">
        <f t="shared" si="10"/>
        <v>#DIV/0!</v>
      </c>
      <c r="P27" s="62" t="e">
        <f t="shared" si="10"/>
        <v>#DIV/0!</v>
      </c>
      <c r="Q27" s="62"/>
      <c r="R27" s="45">
        <f t="shared" si="10"/>
        <v>0</v>
      </c>
      <c r="S27" s="45">
        <f t="shared" si="10"/>
        <v>0</v>
      </c>
      <c r="T27" s="45">
        <f>SUM(T16:T21)+SUM(T23:T26)</f>
        <v>0</v>
      </c>
      <c r="U27" s="45" t="e">
        <f t="shared" si="10"/>
        <v>#DIV/0!</v>
      </c>
      <c r="V27" s="62" t="e">
        <f t="shared" si="10"/>
        <v>#DIV/0!</v>
      </c>
      <c r="W27" s="62" t="e">
        <f t="shared" si="10"/>
        <v>#DIV/0!</v>
      </c>
      <c r="X27" s="45">
        <f t="shared" si="10"/>
        <v>0</v>
      </c>
      <c r="Y27" s="45" t="e">
        <f t="shared" si="10"/>
        <v>#DIV/0!</v>
      </c>
      <c r="Z27" s="45" t="e">
        <f>SUM(Z16:Z21)+SUM(Z23:Z26)</f>
        <v>#DIV/0!</v>
      </c>
      <c r="AA27" s="45">
        <f>SUM(AA16:AA21)+SUM(AA23:AA26)</f>
        <v>0</v>
      </c>
      <c r="AB27" s="62" t="e">
        <f t="shared" si="10"/>
        <v>#DIV/0!</v>
      </c>
      <c r="AC27" s="62" t="e">
        <f t="shared" si="10"/>
        <v>#DIV/0!</v>
      </c>
      <c r="AD27" s="45">
        <f t="shared" ref="AD27:AI27" si="11">SUM(AD16:AD21)+SUM(AD23:AD26)</f>
        <v>0</v>
      </c>
      <c r="AE27" s="45">
        <f t="shared" si="11"/>
        <v>0</v>
      </c>
      <c r="AF27" s="45" t="e">
        <f t="shared" si="11"/>
        <v>#DIV/0!</v>
      </c>
      <c r="AG27" s="45">
        <f t="shared" si="11"/>
        <v>0</v>
      </c>
      <c r="AH27" s="62" t="e">
        <f t="shared" si="11"/>
        <v>#DIV/0!</v>
      </c>
      <c r="AI27" s="62" t="e">
        <f t="shared" si="11"/>
        <v>#DIV/0!</v>
      </c>
      <c r="AJ27" s="45">
        <f t="shared" si="10"/>
        <v>0</v>
      </c>
      <c r="AK27" s="45" t="e">
        <f t="shared" si="10"/>
        <v>#DIV/0!</v>
      </c>
      <c r="AL27" s="45" t="e">
        <f>SUM(AL16:AL21)+SUM(AL23:AL26)</f>
        <v>#DIV/0!</v>
      </c>
      <c r="AM27" s="45">
        <f>SUM(AM16:AM21)+SUM(AM23:AM26)</f>
        <v>0</v>
      </c>
      <c r="AN27" s="62" t="e">
        <f>SUM(AN16:AN21)+SUM(AN23:AN26)</f>
        <v>#DIV/0!</v>
      </c>
      <c r="AO27" s="62" t="e">
        <f>SUM(AO16:AO21)+SUM(AO23:AO26)</f>
        <v>#DIV/0!</v>
      </c>
      <c r="AP27" s="46">
        <f t="shared" si="10"/>
        <v>0</v>
      </c>
      <c r="AQ27" s="45" t="e">
        <f t="shared" si="10"/>
        <v>#DIV/0!</v>
      </c>
      <c r="AR27" s="45" t="e">
        <f t="shared" si="10"/>
        <v>#DIV/0!</v>
      </c>
      <c r="AS27" s="45">
        <f>SUM(AS16:AS21)+SUM(AS23:AS26)</f>
        <v>0</v>
      </c>
      <c r="AT27" s="62" t="e">
        <f t="shared" si="10"/>
        <v>#DIV/0!</v>
      </c>
      <c r="AU27" s="47" t="e">
        <f>SUM(AU16:AU21)+SUM(AU23:AU26)</f>
        <v>#DIV/0!</v>
      </c>
    </row>
    <row r="28" spans="1:53" ht="6" customHeight="1" x14ac:dyDescent="0.45">
      <c r="L28" s="48"/>
      <c r="AJ28" s="48"/>
    </row>
    <row r="29" spans="1:53" x14ac:dyDescent="0.45">
      <c r="B29" s="61" t="s">
        <v>49</v>
      </c>
      <c r="L29" s="48"/>
      <c r="Q29" s="70"/>
      <c r="S29" s="90">
        <f>S23</f>
        <v>0</v>
      </c>
      <c r="T29" s="70" t="e">
        <f>S29/($T$27+$U$27)</f>
        <v>#DIV/0!</v>
      </c>
      <c r="X29" s="49"/>
      <c r="Y29" s="94">
        <f>S29*$Y$7/1000</f>
        <v>0</v>
      </c>
      <c r="AB29" s="70"/>
      <c r="AJ29" s="48"/>
    </row>
    <row r="30" spans="1:53" x14ac:dyDescent="0.45">
      <c r="B30" s="48"/>
      <c r="L30" s="48"/>
      <c r="O30" s="70" t="e">
        <f>N30/N27</f>
        <v>#DIV/0!</v>
      </c>
      <c r="Q30" s="70"/>
      <c r="S30" s="1">
        <f>S23/2</f>
        <v>0</v>
      </c>
      <c r="T30" s="70" t="e">
        <f>S30/($T$27+$U$27)</f>
        <v>#DIV/0!</v>
      </c>
      <c r="X30" s="49"/>
      <c r="Y30" s="94">
        <f>S30*$Y$7/1000</f>
        <v>0</v>
      </c>
      <c r="AA30" s="90" t="e">
        <f>Z21-T21</f>
        <v>#DIV/0!</v>
      </c>
      <c r="AB30" s="90">
        <f>T21</f>
        <v>0</v>
      </c>
      <c r="AJ30" s="48"/>
    </row>
    <row r="31" spans="1:53" x14ac:dyDescent="0.45">
      <c r="B31" s="48"/>
      <c r="L31" s="48"/>
      <c r="N31" s="90"/>
      <c r="Q31" s="70"/>
      <c r="S31" s="90">
        <f>S23/3</f>
        <v>0</v>
      </c>
      <c r="T31" s="70" t="e">
        <f t="shared" ref="T31:T32" si="12">S31/($T$27+$U$27)</f>
        <v>#DIV/0!</v>
      </c>
      <c r="U31" s="92"/>
      <c r="X31" s="49"/>
      <c r="Y31" s="94">
        <f>S31*$Y$7/1000</f>
        <v>0</v>
      </c>
      <c r="Z31" s="91"/>
      <c r="AA31" s="1" t="e">
        <f>AA30/SUM($Z$27:$AA$27)</f>
        <v>#DIV/0!</v>
      </c>
      <c r="AB31" s="1" t="e">
        <f>AB30/SUM($Z$27:$AA$27)</f>
        <v>#DIV/0!</v>
      </c>
      <c r="AC31" s="70"/>
      <c r="AJ31" s="48"/>
    </row>
    <row r="32" spans="1:53" x14ac:dyDescent="0.45">
      <c r="N32" s="146" t="e">
        <f>L13*1000</f>
        <v>#DIV/0!</v>
      </c>
      <c r="O32" s="146"/>
      <c r="S32" s="1">
        <f>S23/5</f>
        <v>0</v>
      </c>
      <c r="T32" s="70" t="e">
        <f t="shared" si="12"/>
        <v>#DIV/0!</v>
      </c>
      <c r="Y32" s="94">
        <f>S32*$Y$7/1000</f>
        <v>0</v>
      </c>
    </row>
    <row r="33" spans="5:44" x14ac:dyDescent="0.45">
      <c r="E33" s="56"/>
      <c r="I33" s="56"/>
      <c r="M33" s="54"/>
      <c r="X33" s="1" t="s">
        <v>30</v>
      </c>
      <c r="Y33" s="54"/>
      <c r="Z33" s="1" t="s">
        <v>31</v>
      </c>
      <c r="AG33" s="93"/>
      <c r="AJ33" s="1" t="s">
        <v>30</v>
      </c>
      <c r="AK33" s="54"/>
      <c r="AL33" s="1" t="s">
        <v>31</v>
      </c>
      <c r="AP33" s="1" t="s">
        <v>30</v>
      </c>
      <c r="AQ33" s="54"/>
      <c r="AR33" s="1" t="s">
        <v>31</v>
      </c>
    </row>
    <row r="34" spans="5:44" x14ac:dyDescent="0.45">
      <c r="E34" s="53"/>
      <c r="G34" s="70"/>
      <c r="I34" s="56"/>
      <c r="L34" s="1" t="s">
        <v>29</v>
      </c>
      <c r="M34" s="89"/>
      <c r="N34" s="1" t="s">
        <v>31</v>
      </c>
      <c r="T34" s="1" t="e">
        <f>N30/(T27+U27)</f>
        <v>#DIV/0!</v>
      </c>
      <c r="X34" s="1" t="s">
        <v>29</v>
      </c>
      <c r="AJ34" s="1" t="s">
        <v>29</v>
      </c>
      <c r="AP34" s="1" t="s">
        <v>29</v>
      </c>
    </row>
    <row r="35" spans="5:44" x14ac:dyDescent="0.45">
      <c r="E35" s="56"/>
      <c r="G35" s="70"/>
      <c r="I35" s="56"/>
      <c r="X35" s="1" t="s">
        <v>54</v>
      </c>
      <c r="Y35" s="53"/>
      <c r="Z35" s="1" t="s">
        <v>31</v>
      </c>
      <c r="AJ35" s="1" t="s">
        <v>54</v>
      </c>
      <c r="AK35" s="53"/>
      <c r="AL35" s="1" t="s">
        <v>31</v>
      </c>
      <c r="AP35" s="1" t="s">
        <v>54</v>
      </c>
      <c r="AQ35" s="53"/>
      <c r="AR35" s="1" t="s">
        <v>31</v>
      </c>
    </row>
    <row r="36" spans="5:44" x14ac:dyDescent="0.45">
      <c r="E36" s="56"/>
      <c r="G36" s="70"/>
      <c r="I36" s="56"/>
      <c r="Y36" s="53"/>
      <c r="AJ36" s="1" t="s">
        <v>2</v>
      </c>
      <c r="AK36" s="53"/>
      <c r="AL36" s="1" t="s">
        <v>31</v>
      </c>
      <c r="AP36" s="1" t="s">
        <v>2</v>
      </c>
      <c r="AQ36" s="53"/>
      <c r="AR36" s="1" t="s">
        <v>31</v>
      </c>
    </row>
    <row r="37" spans="5:44" x14ac:dyDescent="0.45">
      <c r="E37" s="56"/>
      <c r="G37" s="70"/>
      <c r="I37" s="56"/>
      <c r="Y37" s="53"/>
      <c r="AJ37" s="1" t="s">
        <v>3</v>
      </c>
      <c r="AK37" s="53"/>
      <c r="AL37" s="1" t="s">
        <v>31</v>
      </c>
      <c r="AP37" s="1" t="s">
        <v>3</v>
      </c>
      <c r="AQ37" s="53"/>
      <c r="AR37" s="1" t="s">
        <v>31</v>
      </c>
    </row>
    <row r="38" spans="5:44" x14ac:dyDescent="0.45">
      <c r="AQ38" s="53"/>
    </row>
  </sheetData>
  <mergeCells count="121">
    <mergeCell ref="B24:C24"/>
    <mergeCell ref="B25:C25"/>
    <mergeCell ref="B26:C26"/>
    <mergeCell ref="B27:C27"/>
    <mergeCell ref="N32:O32"/>
    <mergeCell ref="AJ13:AO13"/>
    <mergeCell ref="AP13:AU13"/>
    <mergeCell ref="B14:C15"/>
    <mergeCell ref="B21:C21"/>
    <mergeCell ref="B22:C22"/>
    <mergeCell ref="B23:C23"/>
    <mergeCell ref="D13:G13"/>
    <mergeCell ref="H13:K13"/>
    <mergeCell ref="L13:Q13"/>
    <mergeCell ref="R13:W13"/>
    <mergeCell ref="X13:AC13"/>
    <mergeCell ref="AD13:AI13"/>
    <mergeCell ref="AJ11:AO11"/>
    <mergeCell ref="AP11:AU11"/>
    <mergeCell ref="D12:G12"/>
    <mergeCell ref="H12:K12"/>
    <mergeCell ref="L12:Q12"/>
    <mergeCell ref="R12:W12"/>
    <mergeCell ref="X12:AC12"/>
    <mergeCell ref="AD12:AI12"/>
    <mergeCell ref="AJ12:AO12"/>
    <mergeCell ref="AP12:AU12"/>
    <mergeCell ref="D11:G11"/>
    <mergeCell ref="H11:K11"/>
    <mergeCell ref="L11:Q11"/>
    <mergeCell ref="R11:W11"/>
    <mergeCell ref="X11:AC11"/>
    <mergeCell ref="AD11:AI11"/>
    <mergeCell ref="AT9:AU9"/>
    <mergeCell ref="D10:G10"/>
    <mergeCell ref="H10:K10"/>
    <mergeCell ref="L10:Q10"/>
    <mergeCell ref="R10:W10"/>
    <mergeCell ref="X10:AC10"/>
    <mergeCell ref="AD10:AI10"/>
    <mergeCell ref="AJ10:AO10"/>
    <mergeCell ref="AP10:AU10"/>
    <mergeCell ref="AB9:AC9"/>
    <mergeCell ref="AE9:AG9"/>
    <mergeCell ref="AH9:AI9"/>
    <mergeCell ref="AK9:AM9"/>
    <mergeCell ref="AN9:AO9"/>
    <mergeCell ref="AQ9:AS9"/>
    <mergeCell ref="E9:F9"/>
    <mergeCell ref="I9:J9"/>
    <mergeCell ref="M9:O9"/>
    <mergeCell ref="P9:Q9"/>
    <mergeCell ref="S9:U9"/>
    <mergeCell ref="V9:W9"/>
    <mergeCell ref="Y9:AA9"/>
    <mergeCell ref="V8:W8"/>
    <mergeCell ref="Y8:AA8"/>
    <mergeCell ref="AT7:AU7"/>
    <mergeCell ref="E8:F8"/>
    <mergeCell ref="I8:J8"/>
    <mergeCell ref="M8:O8"/>
    <mergeCell ref="P8:Q8"/>
    <mergeCell ref="S8:U8"/>
    <mergeCell ref="AN8:AO8"/>
    <mergeCell ref="AQ8:AS8"/>
    <mergeCell ref="AT8:AU8"/>
    <mergeCell ref="AB8:AC8"/>
    <mergeCell ref="AE8:AG8"/>
    <mergeCell ref="AH8:AI8"/>
    <mergeCell ref="AK8:AM8"/>
    <mergeCell ref="AB7:AC7"/>
    <mergeCell ref="AE7:AG7"/>
    <mergeCell ref="AB6:AC6"/>
    <mergeCell ref="AE6:AG6"/>
    <mergeCell ref="AH6:AI6"/>
    <mergeCell ref="AK6:AM6"/>
    <mergeCell ref="AN6:AO6"/>
    <mergeCell ref="AQ6:AS6"/>
    <mergeCell ref="AH7:AI7"/>
    <mergeCell ref="AK7:AM7"/>
    <mergeCell ref="AN7:AO7"/>
    <mergeCell ref="AQ7:AS7"/>
    <mergeCell ref="AJ5:AO5"/>
    <mergeCell ref="AP5:AU5"/>
    <mergeCell ref="B6:C9"/>
    <mergeCell ref="E6:F6"/>
    <mergeCell ref="I6:J6"/>
    <mergeCell ref="M6:O6"/>
    <mergeCell ref="P6:Q6"/>
    <mergeCell ref="S6:U6"/>
    <mergeCell ref="V6:W6"/>
    <mergeCell ref="Y6:AA6"/>
    <mergeCell ref="D5:G5"/>
    <mergeCell ref="H5:K5"/>
    <mergeCell ref="L5:Q5"/>
    <mergeCell ref="R5:W5"/>
    <mergeCell ref="X5:AC5"/>
    <mergeCell ref="AD5:AI5"/>
    <mergeCell ref="AT6:AU6"/>
    <mergeCell ref="E7:F7"/>
    <mergeCell ref="I7:J7"/>
    <mergeCell ref="M7:O7"/>
    <mergeCell ref="P7:Q7"/>
    <mergeCell ref="S7:U7"/>
    <mergeCell ref="V7:W7"/>
    <mergeCell ref="Y7:AA7"/>
    <mergeCell ref="AJ2:AO2"/>
    <mergeCell ref="AP2:AU2"/>
    <mergeCell ref="B4:C4"/>
    <mergeCell ref="D4:G4"/>
    <mergeCell ref="H4:K4"/>
    <mergeCell ref="L4:Q4"/>
    <mergeCell ref="R4:AC4"/>
    <mergeCell ref="AJ4:AO4"/>
    <mergeCell ref="AP4:AU4"/>
    <mergeCell ref="D2:G2"/>
    <mergeCell ref="H2:K2"/>
    <mergeCell ref="L2:Q2"/>
    <mergeCell ref="R2:W2"/>
    <mergeCell ref="X2:AC2"/>
    <mergeCell ref="AD2:AI2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資本政策 (0920)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Toda</dc:creator>
  <cp:lastModifiedBy>Mizuno Taro</cp:lastModifiedBy>
  <dcterms:created xsi:type="dcterms:W3CDTF">2024-08-02T03:55:21Z</dcterms:created>
  <dcterms:modified xsi:type="dcterms:W3CDTF">2026-03-09T02:21:30Z</dcterms:modified>
</cp:coreProperties>
</file>